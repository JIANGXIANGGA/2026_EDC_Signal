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db51c94ff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4cc86e991e59421f"/>
    <x:sheet xmlns:r="http://schemas.openxmlformats.org/officeDocument/2006/relationships" name="逐组数据" sheetId="2" r:id="R94b1f780fd3b4b3c"/>
    <x:sheet xmlns:r="http://schemas.openxmlformats.org/officeDocument/2006/relationships" name="逐分量数据" sheetId="3" r:id="R17324b8292654246"/>
    <x:sheet xmlns:r="http://schemas.openxmlformats.org/officeDocument/2006/relationships" name="测试说明" sheetId="4" r:id="R49e82d15214e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"/>
    <x:numFmt numFmtId="204" formatCode="0.0%"/>
  </x:numFmts>
  <x:fonts count="12">
    <x:font>
      <x:sz val="11"/>
      <x:name val="Carlito"/>
    </x:font>
    <x:font>
      <x:b/>
      <x:sz val="16"/>
      <x:color rgb="FFFFFFFF"/>
      <x:name val="Microsoft YaHei"/>
    </x:font>
    <x:font>
      <x:b/>
      <x:sz val="9"/>
      <x:color rgb="FFFFFFFF"/>
      <x:name val="Microsoft YaHei"/>
    </x:font>
    <x:font>
      <x:b/>
      <x:sz val="11"/>
      <x:color rgb="FF1F2937"/>
      <x:name val="Carlito"/>
    </x:font>
    <x:font>
      <x:b/>
      <x:sz val="9"/>
      <x:color rgb="FF1F2937"/>
      <x:name val="Microsoft YaHei"/>
    </x:font>
    <x:font>
      <x:sz val="9"/>
      <x:color rgb="FF1F2937"/>
      <x:name val="Microsoft YaHei"/>
    </x:font>
    <x:font>
      <x:sz val="10"/>
      <x:color rgb="FF64748B"/>
      <x:name val="Microsoft YaHei"/>
    </x:font>
    <x:font>
      <x:b/>
      <x:sz val="12"/>
      <x:color rgb="FF166534"/>
      <x:name val="Carlito"/>
    </x:font>
    <x:font>
      <x:sz val="8"/>
      <x:color rgb="FF64748B"/>
      <x:name val="Microsoft YaHei"/>
    </x:font>
    <x:font>
      <x:b/>
      <x:sz val="8"/>
      <x:color rgb="FF1F2937"/>
      <x:name val="Microsoft YaHei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CCFBF1"/>
      </x:patternFill>
    </x:fill>
    <x:fill>
      <x:patternFill patternType="solid">
        <x:fgColor rgb="FFDCFCE7"/>
      </x:patternFill>
    </x:fill>
  </x:fills>
  <x:borders count="17">
    <x:border/>
    <x:border>
      <x:left style="thin">
        <x:color rgb="FF0B5F58"/>
      </x:left>
      <x:top style="thin">
        <x:color rgb="FF0B5F58"/>
      </x:top>
      <x:bottom style="thin">
        <x:color rgb="FF0B5F58"/>
      </x:bottom>
    </x:border>
    <x:border>
      <x:right style="thin">
        <x:color rgb="FF0B5F58"/>
      </x:right>
      <x:top style="thin">
        <x:color rgb="FF0B5F58"/>
      </x:top>
      <x:bottom style="thin">
        <x:color rgb="FF0B5F58"/>
      </x:bottom>
    </x:border>
    <x:border>
      <x:top style="thin">
        <x:color rgb="FF0B5F58"/>
      </x:top>
      <x:bottom style="thin">
        <x:color rgb="FF0B5F58"/>
      </x:bottom>
    </x:border>
    <x:border>
      <x:left style="thin">
        <x:color rgb="FFCBD5E1"/>
      </x:left>
      <x:top style="thin">
        <x:color rgb="FFCBD5E1"/>
      </x:top>
      <x:bottom style="thin">
        <x:color rgb="FF0B5F58"/>
      </x:bottom>
    </x:border>
    <x:border>
      <x:right style="thin">
        <x:color rgb="FFCBD5E1"/>
      </x:right>
      <x:top style="thin">
        <x:color rgb="FFCBD5E1"/>
      </x:top>
      <x:bottom style="thin">
        <x:color rgb="FF0B5F58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0B5F58"/>
      </x:bottom>
    </x:border>
    <x:border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top style="thin">
        <x:color rgb="FFCBD5E1"/>
      </x:top>
    </x:border>
    <x:border>
      <x:left style="thin">
        <x:color rgb="FFCBD5E1"/>
      </x:left>
      <x:bottom style="double">
        <x:color rgb="FF0F766E"/>
      </x:bottom>
    </x:border>
    <x:border>
      <x:bottom style="double">
        <x:color rgb="FF0F766E"/>
      </x:bottom>
    </x:border>
  </x:borders>
  <x:cellStyleXfs count="1">
    <x:xf numFmtId="0" fontId="0" fillId="0" borderId="0"/>
  </x:cellStyleXfs>
  <x:cellXfs count="1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3" fillId="3" borderId="12" xfId="0" applyNumberFormat="1" applyFont="1" applyFill="1" applyBorder="1"/>
    <x:xf numFmtId="0" fontId="0" fillId="0" borderId="13" xfId="0" applyNumberFormat="1" applyFont="1" applyFill="1" applyBorder="1"/>
    <x:xf numFmtId="0" fontId="3" fillId="3" borderId="6" xfId="0" applyNumberFormat="1" applyFont="1" applyFill="1" applyBorder="1"/>
    <x:xf numFmtId="0" fontId="3" fillId="3" borderId="8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4" fillId="2" borderId="10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/>
    <x:xf numFmtId="0" fontId="4" fillId="3" borderId="12" xfId="0" applyNumberFormat="1" applyFont="1" applyFill="1" applyBorder="1"/>
    <x:xf numFmtId="0" fontId="5" fillId="0" borderId="13" xfId="0" applyNumberFormat="1" applyFont="1" applyFill="1" applyBorder="1"/>
    <x:xf numFmtId="0" fontId="4" fillId="3" borderId="6" xfId="0" applyNumberFormat="1" applyFont="1" applyFill="1" applyBorder="1"/>
    <x:xf numFmtId="0" fontId="4" fillId="3" borderId="8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9" xfId="0" applyNumberFormat="1" applyFont="1" applyFill="1" applyBorder="1"/>
    <x:xf numFmtId="0" fontId="3" fillId="5" borderId="8" xfId="0" applyNumberFormat="1" applyFont="1" applyFill="1" applyBorder="1"/>
    <x:xf numFmtId="0" fontId="3" fillId="5" borderId="11" xfId="0" applyNumberFormat="1" applyFont="1" applyFill="1" applyBorder="1"/>
    <x:xf numFmtId="0" fontId="3" fillId="5" borderId="9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203" fontId="0" fillId="0" borderId="14" xfId="0" applyNumberFormat="1" applyFont="1" applyFill="1" applyBorder="1"/>
    <x:xf numFmtId="203" fontId="0" fillId="0" borderId="0" xfId="0" applyNumberFormat="1" applyFont="1" applyFill="1" applyBorder="1"/>
    <x:xf numFmtId="203" fontId="3" fillId="5" borderId="16" xfId="0" applyNumberFormat="1" applyFont="1" applyFill="1" applyBorder="1"/>
    <x:xf numFmtId="204" fontId="0" fillId="0" borderId="14" xfId="0" applyNumberFormat="1" applyFont="1" applyFill="1" applyBorder="1"/>
    <x:xf numFmtId="204" fontId="0" fillId="0" borderId="0" xfId="0" applyNumberFormat="1" applyFont="1" applyFill="1" applyBorder="1"/>
    <x:xf numFmtId="204" fontId="3" fillId="5" borderId="16" xfId="0" applyNumberFormat="1" applyFont="1" applyFill="1" applyBorder="1"/>
    <x:xf numFmtId="201" fontId="0" fillId="0" borderId="14" xfId="0" applyNumberFormat="1" applyFont="1" applyFill="1" applyBorder="1"/>
    <x:xf numFmtId="201" fontId="0" fillId="0" borderId="0" xfId="0" applyNumberFormat="1" applyFont="1" applyFill="1" applyBorder="1"/>
    <x:xf numFmtId="201" fontId="3" fillId="5" borderId="16" xfId="0" applyNumberFormat="1" applyFont="1" applyFill="1" applyBorder="1"/>
    <x:xf numFmtId="200" fontId="0" fillId="0" borderId="14" xfId="0" applyNumberFormat="1" applyFont="1" applyFill="1" applyBorder="1"/>
    <x:xf numFmtId="200" fontId="0" fillId="0" borderId="0" xfId="0" applyNumberFormat="1" applyFont="1" applyFill="1" applyBorder="1"/>
    <x:xf numFmtId="200" fontId="3" fillId="5" borderId="16" xfId="0" applyNumberFormat="1" applyFont="1" applyFill="1" applyBorder="1"/>
    <x:xf numFmtId="203" fontId="0" fillId="0" borderId="13" xfId="0" applyNumberFormat="1" applyFont="1" applyFill="1" applyBorder="1"/>
    <x:xf numFmtId="203" fontId="0" fillId="0" borderId="7" xfId="0" applyNumberFormat="1" applyFont="1" applyFill="1" applyBorder="1"/>
    <x:xf numFmtId="0" fontId="8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201" fontId="8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12" xfId="0" applyNumberFormat="1" applyFont="1" applyFill="1" applyBorder="1"/>
    <x:xf numFmtId="0" fontId="11" fillId="3" borderId="14" xfId="0" applyNumberFormat="1" applyFont="1" applyFill="1" applyBorder="1"/>
    <x:xf numFmtId="0" fontId="11" fillId="3" borderId="13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8" xfId="0" applyNumberFormat="1" applyFont="1" applyFill="1" applyBorder="1"/>
    <x:xf numFmtId="0" fontId="11" fillId="3" borderId="11" xfId="0" applyNumberFormat="1" applyFont="1" applyFill="1" applyBorder="1"/>
    <x:xf numFmtId="0" fontId="11" fillId="3" borderId="9" xfId="0" applyNumberFormat="1" applyFont="1" applyFill="1" applyBorder="1"/>
    <x:xf numFmtId="0" fontId="11" fillId="3" borderId="12" xfId="0" applyNumberFormat="1" applyFont="1" applyFill="1" applyBorder="1" applyAlignment="1">
      <x:alignment wrapText="1"/>
    </x:xf>
    <x:xf numFmtId="0" fontId="11" fillId="3" borderId="14" xfId="0" applyNumberFormat="1" applyFont="1" applyFill="1" applyBorder="1" applyAlignment="1">
      <x:alignment wrapText="1"/>
    </x:xf>
    <x:xf numFmtId="0" fontId="11" fillId="3" borderId="13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wrapText="1"/>
    </x:xf>
    <x:xf numFmtId="0" fontId="11" fillId="3" borderId="8" xfId="0" applyNumberFormat="1" applyFont="1" applyFill="1" applyBorder="1" applyAlignment="1">
      <x:alignment wrapText="1"/>
    </x:xf>
    <x:xf numFmtId="0" fontId="11" fillId="3" borderId="11" xfId="0" applyNumberFormat="1" applyFont="1" applyFill="1" applyBorder="1" applyAlignment="1">
      <x:alignment wrapText="1"/>
    </x:xf>
    <x:xf numFmtId="0" fontId="11" fillId="3" borderId="9" xfId="0" applyNumberFormat="1" applyFont="1" applyFill="1" applyBorder="1" applyAlignment="1">
      <x:alignment wrapText="1"/>
    </x:xf>
    <x:xf numFmtId="0" fontId="11" fillId="3" borderId="12" xfId="0" applyNumberFormat="1" applyFont="1" applyFill="1" applyBorder="1" applyAlignment="1">
      <x:alignment vertical="center" wrapText="1"/>
    </x:xf>
    <x:xf numFmtId="0" fontId="11" fillId="3" borderId="14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7" xfId="0" applyNumberFormat="1" applyFont="1" applyFill="1" applyBorder="1" applyAlignment="1">
      <x:alignment vertical="center" wrapText="1"/>
    </x:xf>
    <x:xf numFmtId="0" fontId="11" fillId="3" borderId="8" xfId="0" applyNumberFormat="1" applyFont="1" applyFill="1" applyBorder="1" applyAlignment="1">
      <x:alignment vertical="center" wrapText="1"/>
    </x:xf>
    <x:xf numFmtId="0" fontId="11" fillId="3" borderId="11" xfId="0" applyNumberFormat="1" applyFont="1" applyFill="1" applyBorder="1" applyAlignment="1">
      <x:alignment vertical="center" wrapText="1"/>
    </x:xf>
    <x:xf numFmtId="0" fontId="11" fillId="3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/>
    <x:xf numFmtId="0" fontId="4" fillId="3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12" xfId="0" applyNumberFormat="1" applyFont="1" applyFill="1" applyBorder="1"/>
    <x:xf numFmtId="203" fontId="5" fillId="0" borderId="14" xfId="0" applyNumberFormat="1" applyFont="1" applyFill="1" applyBorder="1"/>
    <x:xf numFmtId="204" fontId="5" fillId="0" borderId="14" xfId="0" applyNumberFormat="1" applyFont="1" applyFill="1" applyBorder="1"/>
    <x:xf numFmtId="201" fontId="5" fillId="0" borderId="14" xfId="0" applyNumberFormat="1" applyFont="1" applyFill="1" applyBorder="1"/>
    <x:xf numFmtId="200" fontId="5" fillId="0" borderId="14" xfId="0" applyNumberFormat="1" applyFont="1" applyFill="1" applyBorder="1"/>
    <x:xf numFmtId="0" fontId="5" fillId="0" borderId="14" xfId="0" applyNumberFormat="1" applyFont="1" applyFill="1" applyBorder="1"/>
    <x:xf numFmtId="203" fontId="5" fillId="0" borderId="13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0" fontId="5" fillId="0" borderId="0" xfId="0" applyNumberFormat="1" applyFont="1" applyFill="1" applyBorder="1"/>
    <x:xf numFmtId="203" fontId="5" fillId="0" borderId="7" xfId="0" applyNumberFormat="1" applyFont="1" applyFill="1" applyBorder="1"/>
    <x:xf numFmtId="0" fontId="4" fillId="5" borderId="15" xfId="0" applyNumberFormat="1" applyFont="1" applyFill="1" applyBorder="1"/>
    <x:xf numFmtId="203" fontId="4" fillId="5" borderId="16" xfId="0" applyNumberFormat="1" applyFont="1" applyFill="1" applyBorder="1"/>
    <x:xf numFmtId="204" fontId="4" fillId="5" borderId="16" xfId="0" applyNumberFormat="1" applyFont="1" applyFill="1" applyBorder="1"/>
    <x:xf numFmtId="201" fontId="4" fillId="5" borderId="16" xfId="0" applyNumberFormat="1" applyFont="1" applyFill="1" applyBorder="1"/>
    <x:xf numFmtId="200" fontId="4" fillId="5" borderId="16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5" fillId="3" borderId="12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203" fontId="5" fillId="0" borderId="14" xfId="0" applyNumberFormat="1" applyFont="1" applyFill="1" applyBorder="1" applyAlignment="1">
      <x:alignment vertical="center"/>
    </x:xf>
    <x:xf numFmtId="204" fontId="5" fillId="0" borderId="14" xfId="0" applyNumberFormat="1" applyFont="1" applyFill="1" applyBorder="1" applyAlignment="1">
      <x:alignment vertical="center"/>
    </x:xf>
    <x:xf numFmtId="201" fontId="5" fillId="0" borderId="14" xfId="0" applyNumberFormat="1" applyFont="1" applyFill="1" applyBorder="1" applyAlignment="1">
      <x:alignment vertical="center"/>
    </x:xf>
    <x:xf numFmtId="200" fontId="5" fillId="0" borderId="14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203" fontId="5" fillId="0" borderId="13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3" fontId="5" fillId="0" borderId="7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/>
    </x:xf>
    <x:xf numFmtId="203" fontId="4" fillId="5" borderId="16" xfId="0" applyNumberFormat="1" applyFont="1" applyFill="1" applyBorder="1" applyAlignment="1">
      <x:alignment vertical="center"/>
    </x:xf>
    <x:xf numFmtId="204" fontId="4" fillId="5" borderId="16" xfId="0" applyNumberFormat="1" applyFont="1" applyFill="1" applyBorder="1" applyAlignment="1">
      <x:alignment vertical="center"/>
    </x:xf>
    <x:xf numFmtId="201" fontId="4" fillId="5" borderId="16" xfId="0" applyNumberFormat="1" applyFont="1" applyFill="1" applyBorder="1" applyAlignment="1">
      <x:alignment vertical="center"/>
    </x:xf>
    <x:xf numFmtId="200" fontId="4" fillId="5" borderId="16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53772b2ed4fdd" /><Relationship Type="http://schemas.openxmlformats.org/officeDocument/2006/relationships/theme" Target="/xl/theme/theme1.xml" Id="Ra8dcf37df9804d98" /><Relationship Type="http://schemas.openxmlformats.org/officeDocument/2006/relationships/sharedStrings" Target="/xl/sharedStrings.xml" Id="R37583db2de264b18" /><Relationship Type="http://schemas.openxmlformats.org/officeDocument/2006/relationships/worksheet" Target="/xl/worksheets/sheet1.xml" Id="R4cc86e991e59421f" /><Relationship Type="http://schemas.openxmlformats.org/officeDocument/2006/relationships/worksheet" Target="/xl/worksheets/sheet2.xml" Id="R94b1f780fd3b4b3c" /><Relationship Type="http://schemas.openxmlformats.org/officeDocument/2006/relationships/worksheet" Target="/xl/worksheets/sheet3.xml" Id="R17324b8292654246" /><Relationship Type="http://schemas.openxmlformats.org/officeDocument/2006/relationships/worksheet" Target="/xl/worksheets/sheet4.xml" Id="R49e82d15214e4d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27fddc9ee64b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30组最大电压误差与5 mV限值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最大电压误差(mV)</c:v>
          </c:tx>
          <c:marker>
            <c:symbol val="none"/>
          </c:marker>
          <c:cat>
            <c:strRef>
              <c:f>'汇总'!$J$3:$J$32</c:f>
              <c:strCache>
                <c:ptCount val="0"/>
              </c:strCache>
            </c:strRef>
          </c:cat>
          <c:val>
            <c:numRef>
              <c:f>'汇总'!$K$3:$K$32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限值(mV)</c:v>
          </c:tx>
          <c:marker>
            <c:symbol val="none"/>
          </c:marker>
          <c:cat>
            <c:strRef>
              <c:f>'汇总'!$J$3:$J$32</c:f>
              <c:strCache>
                <c:ptCount val="0"/>
              </c:strCache>
            </c:strRef>
          </c:cat>
          <c:val>
            <c:numRef>
              <c:f>'汇总'!$L$3:$L$32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5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27fddc9ee64b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02decb804048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1.5" hidden="0" customWidth="1"/>
    <x:col min="3" max="3" width="11.5" hidden="0" customWidth="1"/>
    <x:col min="4" max="4" width="11.5" hidden="0" customWidth="1"/>
    <x:col min="5" max="5" width="17.5" hidden="0" customWidth="1"/>
    <x:col min="6" max="6" width="17.5" hidden="0" customWidth="1"/>
    <x:col min="7" max="7" width="14.75" hidden="0" customWidth="1"/>
    <x:col min="8" max="8" width="14.75" hidden="0" customWidth="1"/>
    <x:col min="10" max="10" width="10.25" hidden="0" customWidth="1"/>
    <x:col min="11" max="11" width="14.75" hidden="0" customWidth="1"/>
    <x:col min="12" max="12" width="14.75" hidden="0" customWidth="1"/>
  </x:cols>
  <x:sheetData>
    <x:row r="1" ht="36" customHeight="1">
      <x:c r="A1" s="4" t="str">
        <x:v>STM32G474 三道题各10组完整实测报告</x:v>
      </x:c>
      <x:c r="B1" s="4"/>
      <x:c r="C1" s="4"/>
      <x:c r="D1" s="4"/>
      <x:c r="E1" s="4"/>
      <x:c r="F1" s="4"/>
      <x:c r="G1" s="4"/>
      <x:c r="H1" s="4"/>
      <x:c r="I1" s="48"/>
      <x:c r="J1" s="48"/>
      <x:c r="K1" s="48"/>
      <x:c r="L1" s="48"/>
    </x:row>
    <x:row r="2" ht="25" customHeight="1">
      <x:c r="A2" s="161" t="str">
        <x:v>2026-08-01 03:11:03 | hzx @ 826974c | COM14 460800 | 本轮未修改、未烧录固件</x:v>
      </x:c>
      <x:c r="B2" s="161"/>
      <x:c r="C2" s="161"/>
      <x:c r="D2" s="161"/>
      <x:c r="E2" s="161"/>
      <x:c r="F2" s="161"/>
      <x:c r="G2" s="161"/>
      <x:c r="H2" s="161"/>
      <x:c r="I2" s="48"/>
      <x:c r="J2" s="149" t="str">
        <x:v>用例</x:v>
      </x:c>
      <x:c r="K2" s="149" t="str">
        <x:v>最大电压误差(mV)</x:v>
      </x:c>
      <x:c r="L2" s="149" t="str">
        <x:v>限值(mV)</x:v>
      </x:c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 t="str">
        <x:f>'逐组数据'!B2</x:f>
        <x:v>Q1-01</x:v>
      </x:c>
      <x:c r="K3" s="62" t="n">
        <x:f>'逐组数据'!S2</x:f>
        <x:v>2.5999999999999943</x:v>
      </x:c>
      <x:c r="L3" s="62" t="n">
        <x:f>'测试说明'!$B$4</x:f>
        <x:v>5</x:v>
      </x:c>
    </x:row>
    <x:row r="4" ht="42" customHeight="1">
      <x:c r="A4" s="12" t="str">
        <x:v>题目</x:v>
      </x:c>
      <x:c r="B4" s="17" t="str">
        <x:v>测试组数</x:v>
      </x:c>
      <x:c r="C4" s="17" t="str">
        <x:v>PASS</x:v>
      </x:c>
      <x:c r="D4" s="17" t="str">
        <x:v>通过率</x:v>
      </x:c>
      <x:c r="E4" s="17" t="str">
        <x:v>最大电压误差(mV)</x:v>
      </x:c>
      <x:c r="F4" s="17" t="str">
        <x:v>最大频率误差(Hz)</x:v>
      </x:c>
      <x:c r="G4" s="17" t="str">
        <x:v>最长响应(s)</x:v>
      </x:c>
      <x:c r="H4" s="13" t="str">
        <x:v>ADC溢出</x:v>
      </x:c>
      <x:c r="I4" s="48"/>
      <x:c r="J4" s="48" t="str">
        <x:f>'逐组数据'!B3</x:f>
        <x:v>Q1-02</x:v>
      </x:c>
      <x:c r="K4" s="62" t="n">
        <x:f>'逐组数据'!S3</x:f>
        <x:v>1.6999999999999886</x:v>
      </x:c>
      <x:c r="L4" s="62" t="n">
        <x:f>'测试说明'!$B$4</x:f>
        <x:v>5</x:v>
      </x:c>
    </x:row>
    <x:row r="5">
      <x:c r="A5" s="162" t="str">
        <x:v>第一题</x:v>
      </x:c>
      <x:c r="B5" s="163" t="n">
        <x:f>COUNTA('逐组数据'!B2:B11)</x:f>
        <x:v>10</x:v>
      </x:c>
      <x:c r="C5" s="163" t="n">
        <x:f>COUNTIF('逐组数据'!Y2:Y11,"PASS")</x:f>
        <x:v>10</x:v>
      </x:c>
      <x:c r="D5" s="164" t="n">
        <x:f>C5/B5</x:f>
        <x:v>1</x:v>
      </x:c>
      <x:c r="E5" s="165" t="n">
        <x:f>MAX('逐组数据'!S2:S11)</x:f>
        <x:v>2.6999999999999886</x:v>
      </x:c>
      <x:c r="F5" s="166" t="n">
        <x:f>MAX('逐组数据'!R2:R11)</x:f>
        <x:v>2</x:v>
      </x:c>
      <x:c r="G5" s="167" t="str">
        <x:v>未单独计时</x:v>
      </x:c>
      <x:c r="H5" s="168" t="n">
        <x:f>MAX('逐组数据'!U2:U11)</x:f>
        <x:v>0</x:v>
      </x:c>
      <x:c r="I5" s="48"/>
      <x:c r="J5" s="48" t="str">
        <x:f>'逐组数据'!B4</x:f>
        <x:v>Q1-03</x:v>
      </x:c>
      <x:c r="K5" s="62" t="n">
        <x:f>'逐组数据'!S4</x:f>
        <x:v>2.0999999999999943</x:v>
      </x:c>
      <x:c r="L5" s="62" t="n">
        <x:f>'测试说明'!$B$4</x:f>
        <x:v>5</x:v>
      </x:c>
    </x:row>
    <x:row r="6">
      <x:c r="A6" s="49" t="str">
        <x:v>第二题</x:v>
      </x:c>
      <x:c r="B6" s="169" t="n">
        <x:f>COUNTA('逐组数据'!B12:B21)</x:f>
        <x:v>10</x:v>
      </x:c>
      <x:c r="C6" s="169" t="n">
        <x:f>COUNTIF('逐组数据'!Y12:Y21,"PASS")</x:f>
        <x:v>10</x:v>
      </x:c>
      <x:c r="D6" s="170" t="n">
        <x:f>C6/B6</x:f>
        <x:v>1</x:v>
      </x:c>
      <x:c r="E6" s="62" t="n">
        <x:f>MAX('逐组数据'!S12:S21)</x:f>
        <x:v>3.3000000000000114</x:v>
      </x:c>
      <x:c r="F6" s="61" t="n">
        <x:f>MAX('逐组数据'!R12:R21)</x:f>
        <x:v>5</x:v>
      </x:c>
      <x:c r="G6" s="48" t="str">
        <x:v>未单独计时</x:v>
      </x:c>
      <x:c r="H6" s="171" t="n">
        <x:f>MAX('逐组数据'!U12:U21)</x:f>
        <x:v>0</x:v>
      </x:c>
      <x:c r="I6" s="48"/>
      <x:c r="J6" s="48" t="str">
        <x:f>'逐组数据'!B5</x:f>
        <x:v>Q1-04</x:v>
      </x:c>
      <x:c r="K6" s="62" t="n">
        <x:f>'逐组数据'!S5</x:f>
        <x:v>2.4000000000000057</x:v>
      </x:c>
      <x:c r="L6" s="62" t="n">
        <x:f>'测试说明'!$B$4</x:f>
        <x:v>5</x:v>
      </x:c>
    </x:row>
    <x:row r="7">
      <x:c r="A7" s="49" t="str">
        <x:v>第三题</x:v>
      </x:c>
      <x:c r="B7" s="169" t="n">
        <x:f>COUNTA('逐组数据'!B22:B31)</x:f>
        <x:v>10</x:v>
      </x:c>
      <x:c r="C7" s="169" t="n">
        <x:f>COUNTIF('逐组数据'!Y22:Y31,"PASS")</x:f>
        <x:v>10</x:v>
      </x:c>
      <x:c r="D7" s="170" t="n">
        <x:f>C7/B7</x:f>
        <x:v>1</x:v>
      </x:c>
      <x:c r="E7" s="62" t="n">
        <x:f>MAX('逐组数据'!S22:S31)</x:f>
        <x:v>3.3000000000000114</x:v>
      </x:c>
      <x:c r="F7" s="61" t="n">
        <x:f>MAX('逐组数据'!R22:R31)</x:f>
        <x:v>5</x:v>
      </x:c>
      <x:c r="G7" s="62" t="n">
        <x:f>MAX('逐组数据'!P22:P31)</x:f>
        <x:v>1.3439999999973224</x:v>
      </x:c>
      <x:c r="H7" s="171" t="n">
        <x:f>MAX('逐组数据'!U22:U31)</x:f>
        <x:v>0</x:v>
      </x:c>
      <x:c r="I7" s="48"/>
      <x:c r="J7" s="48" t="str">
        <x:f>'逐组数据'!B6</x:f>
        <x:v>Q1-05</x:v>
      </x:c>
      <x:c r="K7" s="62" t="n">
        <x:f>'逐组数据'!S6</x:f>
        <x:v>2.4000000000000057</x:v>
      </x:c>
      <x:c r="L7" s="62" t="n">
        <x:f>'测试说明'!$B$4</x:f>
        <x:v>5</x:v>
      </x:c>
    </x:row>
    <x:row r="8">
      <x:c r="A8" s="172" t="str">
        <x:v>合计</x:v>
      </x:c>
      <x:c r="B8" s="173" t="n">
        <x:f>COUNTA('逐组数据'!B2:B31)</x:f>
        <x:v>30</x:v>
      </x:c>
      <x:c r="C8" s="173" t="n">
        <x:f>COUNTIF('逐组数据'!Y2:Y31,"PASS")</x:f>
        <x:v>30</x:v>
      </x:c>
      <x:c r="D8" s="174" t="n">
        <x:f>C8/B8</x:f>
        <x:v>1</x:v>
      </x:c>
      <x:c r="E8" s="175" t="n">
        <x:f>MAX('逐组数据'!S2:S31)</x:f>
        <x:v>3.3000000000000114</x:v>
      </x:c>
      <x:c r="F8" s="176" t="n">
        <x:f>MAX('逐组数据'!R2:R31)</x:f>
        <x:v>5</x:v>
      </x:c>
      <x:c r="G8" s="175" t="n">
        <x:f>MAX('逐组数据'!P22:P31)</x:f>
        <x:v>1.3439999999973224</x:v>
      </x:c>
      <x:c r="H8" s="173" t="n">
        <x:f>MAX('逐组数据'!U2:U31)</x:f>
        <x:v>0</x:v>
      </x:c>
      <x:c r="I8" s="48"/>
      <x:c r="J8" s="48" t="str">
        <x:f>'逐组数据'!B7</x:f>
        <x:v>Q1-06</x:v>
      </x:c>
      <x:c r="K8" s="62" t="n">
        <x:f>'逐组数据'!S7</x:f>
        <x:v>2.1999999999999886</x:v>
      </x:c>
      <x:c r="L8" s="62" t="n">
        <x:f>'测试说明'!$B$4</x:f>
        <x:v>5</x:v>
      </x:c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 t="str">
        <x:f>'逐组数据'!B8</x:f>
        <x:v>Q1-07</x:v>
      </x:c>
      <x:c r="K9" s="62" t="n">
        <x:f>'逐组数据'!S8</x:f>
        <x:v>2</x:v>
      </x:c>
      <x:c r="L9" s="62" t="n">
        <x:f>'测试说明'!$B$4</x:f>
        <x:v>5</x:v>
      </x:c>
    </x:row>
    <x:row r="10" ht="26" customHeight="1">
      <x:c r="A10" s="149" t="str">
        <x:v>总体验收结果</x:v>
      </x:c>
      <x:c r="B10" s="150" t="str">
        <x:f>IF(C8=B8,"PASS","FAIL")</x:f>
        <x:v>PASS</x:v>
      </x:c>
      <x:c r="C10" s="149"/>
      <x:c r="D10" s="149" t="str">
        <x:v>固件处理</x:v>
      </x:c>
      <x:c r="E10" s="149" t="str">
        <x:v>仅记录数据；未修改代码、未调整参数、未重新烧录</x:v>
      </x:c>
      <x:c r="F10" s="149"/>
      <x:c r="G10" s="149"/>
      <x:c r="H10" s="149"/>
      <x:c r="I10" s="48"/>
      <x:c r="J10" s="48" t="str">
        <x:f>'逐组数据'!B9</x:f>
        <x:v>Q1-08</x:v>
      </x:c>
      <x:c r="K10" s="62" t="n">
        <x:f>'逐组数据'!S9</x:f>
        <x:v>1.3000000000000114</x:v>
      </x:c>
      <x:c r="L10" s="62" t="n">
        <x:f>'测试说明'!$B$4</x:f>
        <x:v>5</x:v>
      </x:c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 t="str">
        <x:f>'逐组数据'!B10</x:f>
        <x:v>Q1-09</x:v>
      </x:c>
      <x:c r="K11" s="62" t="n">
        <x:f>'逐组数据'!S10</x:f>
        <x:v>1.8000000000000114</x:v>
      </x:c>
      <x:c r="L11" s="62" t="n">
        <x:f>'测试说明'!$B$4</x:f>
        <x:v>5</x:v>
      </x:c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 t="str">
        <x:f>'逐组数据'!B11</x:f>
        <x:v>Q1-10</x:v>
      </x:c>
      <x:c r="K12" s="62" t="n">
        <x:f>'逐组数据'!S11</x:f>
        <x:v>2.6999999999999886</x:v>
      </x:c>
      <x:c r="L12" s="62" t="n">
        <x:f>'测试说明'!$B$4</x:f>
        <x:v>5</x:v>
      </x:c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 t="str">
        <x:f>'逐组数据'!B12</x:f>
        <x:v>Q2-01</x:v>
      </x:c>
      <x:c r="K13" s="62" t="n">
        <x:f>'逐组数据'!S12</x:f>
        <x:v>1.2999999999999972</x:v>
      </x:c>
      <x:c r="L13" s="62" t="n">
        <x:f>'测试说明'!$B$4</x:f>
        <x:v>5</x:v>
      </x:c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 t="str">
        <x:f>'逐组数据'!B13</x:f>
        <x:v>Q2-02</x:v>
      </x:c>
      <x:c r="K14" s="62" t="n">
        <x:f>'逐组数据'!S13</x:f>
        <x:v>1.7000000000000028</x:v>
      </x:c>
      <x:c r="L14" s="62" t="n">
        <x:f>'测试说明'!$B$4</x:f>
        <x:v>5</x:v>
      </x:c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 t="str">
        <x:f>'逐组数据'!B14</x:f>
        <x:v>Q2-03</x:v>
      </x:c>
      <x:c r="K15" s="62" t="n">
        <x:f>'逐组数据'!S14</x:f>
        <x:v>2.9000000000000057</x:v>
      </x:c>
      <x:c r="L15" s="62" t="n">
        <x:f>'测试说明'!$B$4</x:f>
        <x:v>5</x:v>
      </x:c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 t="str">
        <x:f>'逐组数据'!B15</x:f>
        <x:v>Q2-04</x:v>
      </x:c>
      <x:c r="K16" s="62" t="n">
        <x:f>'逐组数据'!S15</x:f>
        <x:v>2.0999999999999943</x:v>
      </x:c>
      <x:c r="L16" s="62" t="n">
        <x:f>'测试说明'!$B$4</x:f>
        <x:v>5</x:v>
      </x:c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 t="str">
        <x:f>'逐组数据'!B16</x:f>
        <x:v>Q2-05</x:v>
      </x:c>
      <x:c r="K17" s="62" t="n">
        <x:f>'逐组数据'!S16</x:f>
        <x:v>3.3000000000000114</x:v>
      </x:c>
      <x:c r="L17" s="62" t="n">
        <x:f>'测试说明'!$B$4</x:f>
        <x:v>5</x:v>
      </x:c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 t="str">
        <x:f>'逐组数据'!B17</x:f>
        <x:v>Q2-06</x:v>
      </x:c>
      <x:c r="K18" s="62" t="n">
        <x:f>'逐组数据'!S17</x:f>
        <x:v>2.200000000000003</x:v>
      </x:c>
      <x:c r="L18" s="62" t="n">
        <x:f>'测试说明'!$B$4</x:f>
        <x:v>5</x:v>
      </x:c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 t="str">
        <x:f>'逐组数据'!B18</x:f>
        <x:v>Q2-07</x:v>
      </x:c>
      <x:c r="K19" s="62" t="n">
        <x:f>'逐组数据'!S18</x:f>
        <x:v>2.0999999999999943</x:v>
      </x:c>
      <x:c r="L19" s="62" t="n">
        <x:f>'测试说明'!$B$4</x:f>
        <x:v>5</x:v>
      </x:c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 t="str">
        <x:f>'逐组数据'!B19</x:f>
        <x:v>Q2-08</x:v>
      </x:c>
      <x:c r="K20" s="62" t="n">
        <x:f>'逐组数据'!S19</x:f>
        <x:v>2.6999999999999886</x:v>
      </x:c>
      <x:c r="L20" s="62" t="n">
        <x:f>'测试说明'!$B$4</x:f>
        <x:v>5</x:v>
      </x:c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 t="str">
        <x:f>'逐组数据'!B20</x:f>
        <x:v>Q2-09</x:v>
      </x:c>
      <x:c r="K21" s="62" t="n">
        <x:f>'逐组数据'!S20</x:f>
        <x:v>2.8000000000000114</x:v>
      </x:c>
      <x:c r="L21" s="62" t="n">
        <x:f>'测试说明'!$B$4</x:f>
        <x:v>5</x:v>
      </x:c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 t="str">
        <x:f>'逐组数据'!B21</x:f>
        <x:v>Q2-10</x:v>
      </x:c>
      <x:c r="K22" s="62" t="n">
        <x:f>'逐组数据'!S21</x:f>
        <x:v>2</x:v>
      </x:c>
      <x:c r="L22" s="62" t="n">
        <x:f>'测试说明'!$B$4</x:f>
        <x:v>5</x:v>
      </x:c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 t="str">
        <x:f>'逐组数据'!B22</x:f>
        <x:v>Q3-01</x:v>
      </x:c>
      <x:c r="K23" s="62" t="n">
        <x:f>'逐组数据'!S22</x:f>
        <x:v>0.7000000000000028</x:v>
      </x:c>
      <x:c r="L23" s="62" t="n">
        <x:f>'测试说明'!$B$4</x:f>
        <x:v>5</x:v>
      </x:c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 t="str">
        <x:f>'逐组数据'!B23</x:f>
        <x:v>Q3-02</x:v>
      </x:c>
      <x:c r="K24" s="62" t="n">
        <x:f>'逐组数据'!S23</x:f>
        <x:v>3.3000000000000114</x:v>
      </x:c>
      <x:c r="L24" s="62" t="n">
        <x:f>'测试说明'!$B$4</x:f>
        <x:v>5</x:v>
      </x:c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 t="str">
        <x:f>'逐组数据'!B24</x:f>
        <x:v>Q3-03</x:v>
      </x:c>
      <x:c r="K25" s="62" t="n">
        <x:f>'逐组数据'!S24</x:f>
        <x:v>1.4000000000000057</x:v>
      </x:c>
      <x:c r="L25" s="62" t="n">
        <x:f>'测试说明'!$B$4</x:f>
        <x:v>5</x:v>
      </x:c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 t="str">
        <x:f>'逐组数据'!B25</x:f>
        <x:v>Q3-04</x:v>
      </x:c>
      <x:c r="K26" s="62" t="n">
        <x:f>'逐组数据'!S25</x:f>
        <x:v>2.8000000000000114</x:v>
      </x:c>
      <x:c r="L26" s="62" t="n">
        <x:f>'测试说明'!$B$4</x:f>
        <x:v>5</x:v>
      </x:c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 t="str">
        <x:f>'逐组数据'!B26</x:f>
        <x:v>Q3-05</x:v>
      </x:c>
      <x:c r="K27" s="62" t="n">
        <x:f>'逐组数据'!S26</x:f>
        <x:v>2.8000000000000114</x:v>
      </x:c>
      <x:c r="L27" s="62" t="n">
        <x:f>'测试说明'!$B$4</x:f>
        <x:v>5</x:v>
      </x:c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 t="str">
        <x:f>'逐组数据'!B27</x:f>
        <x:v>Q3-06</x:v>
      </x:c>
      <x:c r="K28" s="62" t="n">
        <x:f>'逐组数据'!S27</x:f>
        <x:v>1.5999999999999943</x:v>
      </x:c>
      <x:c r="L28" s="62" t="n">
        <x:f>'测试说明'!$B$4</x:f>
        <x:v>5</x:v>
      </x:c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 t="str">
        <x:f>'逐组数据'!B28</x:f>
        <x:v>Q3-07</x:v>
      </x:c>
      <x:c r="K29" s="62" t="n">
        <x:f>'逐组数据'!S28</x:f>
        <x:v>0.3999999999999986</x:v>
      </x:c>
      <x:c r="L29" s="62" t="n">
        <x:f>'测试说明'!$B$4</x:f>
        <x:v>5</x:v>
      </x:c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 t="str">
        <x:f>'逐组数据'!B29</x:f>
        <x:v>Q3-08</x:v>
      </x:c>
      <x:c r="K30" s="62" t="n">
        <x:f>'逐组数据'!S29</x:f>
        <x:v>2.5</x:v>
      </x:c>
      <x:c r="L30" s="62" t="n">
        <x:f>'测试说明'!$B$4</x:f>
        <x:v>5</x:v>
      </x:c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 t="str">
        <x:f>'逐组数据'!B30</x:f>
        <x:v>Q3-09</x:v>
      </x:c>
      <x:c r="K31" s="62" t="n">
        <x:f>'逐组数据'!S30</x:f>
        <x:v>2.3000000000000114</x:v>
      </x:c>
      <x:c r="L31" s="62" t="n">
        <x:f>'测试说明'!$B$4</x:f>
        <x:v>5</x:v>
      </x:c>
    </x:row>
    <x:row r="32" ht="24" customHeight="1">
      <x:c r="A32" s="177" t="str">
        <x:v>结论</x:v>
      </x:c>
      <x:c r="B32" s="177"/>
      <x:c r="C32" s="177"/>
      <x:c r="D32" s="177"/>
      <x:c r="E32" s="177"/>
      <x:c r="F32" s="177"/>
      <x:c r="G32" s="177"/>
      <x:c r="H32" s="177"/>
      <x:c r="I32" s="48"/>
      <x:c r="J32" s="48" t="str">
        <x:f>'逐组数据'!B31</x:f>
        <x:v>Q3-10</x:v>
      </x:c>
      <x:c r="K32" s="62" t="n">
        <x:f>'逐组数据'!S31</x:f>
        <x:v>0.3999999999999986</x:v>
      </x:c>
      <x:c r="L32" s="62" t="n">
        <x:f>'测试说明'!$B$4</x:f>
        <x:v>5</x:v>
      </x:c>
    </x:row>
    <x:row r="33" ht="24" customHeight="1">
      <x:c r="A33" s="152" t="str">
        <x:v>三道题共30组均通过。第一题和第二题在固定1.5 s观察点均已获得稳定5帧结果；第三题最长实测响应时间小于2 s。测试期间按要求未修改固件、未调整补偿、未重新烧录。</x:v>
      </x:c>
      <x:c r="B33" s="153"/>
      <x:c r="C33" s="153"/>
      <x:c r="D33" s="153"/>
      <x:c r="E33" s="153"/>
      <x:c r="F33" s="153"/>
      <x:c r="G33" s="153"/>
      <x:c r="H33" s="154"/>
      <x:c r="I33" s="48"/>
      <x:c r="J33" s="48"/>
      <x:c r="K33" s="48"/>
      <x:c r="L33" s="48"/>
    </x:row>
    <x:row r="34" ht="24" customHeight="1">
      <x:c r="A34" s="155"/>
      <x:c r="B34" s="156"/>
      <x:c r="C34" s="156"/>
      <x:c r="D34" s="156"/>
      <x:c r="E34" s="156"/>
      <x:c r="F34" s="156"/>
      <x:c r="G34" s="156"/>
      <x:c r="H34" s="157"/>
      <x:c r="I34" s="48"/>
      <x:c r="J34" s="48"/>
      <x:c r="K34" s="48"/>
      <x:c r="L34" s="48"/>
    </x:row>
    <x:row r="35" ht="24" customHeight="1">
      <x:c r="A35" s="155"/>
      <x:c r="B35" s="156"/>
      <x:c r="C35" s="156"/>
      <x:c r="D35" s="156"/>
      <x:c r="E35" s="156"/>
      <x:c r="F35" s="156"/>
      <x:c r="G35" s="156"/>
      <x:c r="H35" s="157"/>
      <x:c r="I35" s="48"/>
      <x:c r="J35" s="48"/>
      <x:c r="K35" s="48"/>
      <x:c r="L35" s="48"/>
    </x:row>
    <x:row r="36" ht="24" customHeight="1">
      <x:c r="A36" s="158"/>
      <x:c r="B36" s="159"/>
      <x:c r="C36" s="159"/>
      <x:c r="D36" s="159"/>
      <x:c r="E36" s="159"/>
      <x:c r="F36" s="159"/>
      <x:c r="G36" s="159"/>
      <x:c r="H36" s="160"/>
      <x:c r="I36" s="48"/>
      <x:c r="J36" s="48"/>
      <x:c r="K36" s="48"/>
      <x:c r="L36" s="48"/>
    </x:row>
  </x:sheetData>
  <x:mergeCells>
    <x:mergeCell ref="A1:H1"/>
    <x:mergeCell ref="A2:H2"/>
    <x:mergeCell ref="E10:H10"/>
    <x:mergeCell ref="A32:H32"/>
    <x:mergeCell ref="A33:H36"/>
  </x:mergeCells>
  <x:conditionalFormatting sqref="B10:B10">
    <x:cfRule type="containsText" dxfId="8" priority="1" operator="containsText" text="PASS"/>
    <x:cfRule type="containsText" dxfId="9" priority="2" operator="containsText" text="FAIL"/>
  </x:conditionalFormatting>
  <x:pageMargins left="0.7" right="0.7" top="0.75" bottom="0.75" header="0.3" footer="0.3"/>
  <x:drawing xmlns:r="http://schemas.openxmlformats.org/officeDocument/2006/relationships" r:id="Rc702decb8040486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10" hidden="0" customWidth="1"/>
    <x:col min="3" max="3" width="27.5" hidden="0" customWidth="1"/>
    <x:col min="4" max="4" width="12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0.25" hidden="0" customWidth="1"/>
    <x:col min="15" max="15" width="10.25" hidden="0" customWidth="1"/>
    <x:col min="16" max="16" width="14.75" hidden="0" customWidth="1"/>
    <x:col min="17" max="17" width="18.1299991607666" hidden="0" customWidth="1"/>
    <x:col min="18" max="18" width="18.1299991607666" hidden="0" customWidth="1"/>
    <x:col min="19" max="19" width="18.1299991607666" hidden="0" customWidth="1"/>
    <x:col min="20" max="20" width="10.25" hidden="0" customWidth="1"/>
    <x:col min="21" max="21" width="10.25" hidden="0" customWidth="1"/>
    <x:col min="22" max="22" width="10.25" hidden="0" customWidth="1"/>
    <x:col min="23" max="23" width="12.25" hidden="0" customWidth="1"/>
    <x:col min="24" max="24" width="11" hidden="0" customWidth="1"/>
    <x:col min="25" max="25" width="11" hidden="0" customWidth="1"/>
    <x:col min="26" max="26" width="42.5" hidden="0" customWidth="1"/>
  </x:cols>
  <x:sheetData>
    <x:row r="1" ht="42" customHeight="1">
      <x:c r="A1" s="12" t="str">
        <x:v>题目</x:v>
      </x:c>
      <x:c r="B1" s="17" t="str">
        <x:v>用例</x:v>
      </x:c>
      <x:c r="C1" s="17" t="str">
        <x:v>函数(阶次:系数)</x:v>
      </x:c>
      <x:c r="D1" s="17" t="str">
        <x:v>基频(Hz)</x:v>
      </x:c>
      <x:c r="E1" s="17" t="str">
        <x:v>题目信号Upp(mV)</x:v>
      </x:c>
      <x:c r="F1" s="17" t="str">
        <x:v>干扰频率(Hz)</x:v>
      </x:c>
      <x:c r="G1" s="17" t="str">
        <x:v>干扰Upp(mV)</x:v>
      </x:c>
      <x:c r="H1" s="17" t="str">
        <x:v>实际Upp(mV)</x:v>
      </x:c>
      <x:c r="I1" s="17" t="str">
        <x:v>检测Upp(mV)</x:v>
      </x:c>
      <x:c r="J1" s="17" t="str">
        <x:v>Upp误差(mV)</x:v>
      </x:c>
      <x:c r="K1" s="17" t="str">
        <x:v>实际RMS(mV)</x:v>
      </x:c>
      <x:c r="L1" s="17" t="str">
        <x:v>检测RMS(mV)</x:v>
      </x:c>
      <x:c r="M1" s="17" t="str">
        <x:v>RMS误差(mV)</x:v>
      </x:c>
      <x:c r="N1" s="17" t="str">
        <x:v>实际分量数</x:v>
      </x:c>
      <x:c r="O1" s="17" t="str">
        <x:v>检测分量数</x:v>
      </x:c>
      <x:c r="P1" s="17" t="str">
        <x:v>响应时间(s)</x:v>
      </x:c>
      <x:c r="Q1" s="17" t="str">
        <x:v>分量最大幅值误差(mV)</x:v>
      </x:c>
      <x:c r="R1" s="17" t="str">
        <x:v>分量最大频率误差(Hz)</x:v>
      </x:c>
      <x:c r="S1" s="17" t="str">
        <x:v>最大电压类误差(mV)</x:v>
      </x:c>
      <x:c r="T1" s="17" t="str">
        <x:v>信号有效</x:v>
      </x:c>
      <x:c r="U1" s="17" t="str">
        <x:v>ADC溢出</x:v>
      </x:c>
      <x:c r="V1" s="17" t="str">
        <x:v>稳定帧数</x:v>
      </x:c>
      <x:c r="W1" s="17" t="str">
        <x:v>原始文件</x:v>
      </x:c>
      <x:c r="X1" s="17" t="str">
        <x:v>原始判定</x:v>
      </x:c>
      <x:c r="Y1" s="17" t="str">
        <x:v>复核判定</x:v>
      </x:c>
      <x:c r="Z1" s="13" t="str">
        <x:v>响应说明</x:v>
      </x:c>
    </x:row>
    <x:row r="2" ht="20" customHeight="1">
      <x:c r="A2" s="48" t="str">
        <x:v>第一题</x:v>
      </x:c>
      <x:c r="B2" s="48" t="str">
        <x:v>Q1-01</x:v>
      </x:c>
      <x:c r="C2" s="67" t="str">
        <x:v>1:1.00,2:0.55</x:v>
      </x:c>
      <x:c r="D2" s="61" t="n">
        <x:v>10000</x:v>
      </x:c>
      <x:c r="E2" s="65" t="n">
        <x:v>100</x:v>
      </x:c>
      <x:c r="F2" s="61"/>
      <x:c r="G2" s="62"/>
      <x:c r="H2" s="62" t="n">
        <x:v>100</x:v>
      </x:c>
      <x:c r="I2" s="62" t="n">
        <x:v>102.6</x:v>
      </x:c>
      <x:c r="J2" s="64" t="n">
        <x:f>I2-H2</x:f>
        <x:v>2.5999999999999943</x:v>
      </x:c>
      <x:c r="K2" s="62" t="n">
        <x:v>30.04946880280311</x:v>
      </x:c>
      <x:c r="L2" s="62" t="n">
        <x:v>30.9</x:v>
      </x:c>
      <x:c r="M2" s="64" t="n">
        <x:f>L2-K2</x:f>
        <x:v>0.8505311971968901</x:v>
      </x:c>
      <x:c r="N2" s="48" t="n">
        <x:v>2</x:v>
      </x:c>
      <x:c r="O2" s="48" t="n">
        <x:v>2</x:v>
      </x:c>
      <x:c r="P2" s="62"/>
      <x:c r="Q2" s="66" t="n">
        <x:f>MAX('逐分量数据'!K2:K3)</x:f>
        <x:v>0.9640077668094094</x:v>
      </x:c>
      <x:c r="R2" s="66" t="n">
        <x:f>MAX('逐分量数据'!J2:J3)</x:f>
        <x:v>0</x:v>
      </x:c>
      <x:c r="S2" s="66" t="n">
        <x:f>MAX(ABS(J2),ABS(M2),Q2)</x:f>
        <x:v>2.5999999999999943</x:v>
      </x:c>
      <x:c r="T2" s="48" t="n">
        <x:v>1</x:v>
      </x:c>
      <x:c r="U2" s="48" t="n">
        <x:v>0</x:v>
      </x:c>
      <x:c r="V2" s="48" t="n">
        <x:v>5</x:v>
      </x:c>
      <x:c r="W2" s="48" t="str">
        <x:v>Q1-01.json</x:v>
      </x:c>
      <x:c r="X2" s="48" t="str">
        <x:v>PASS</x:v>
      </x:c>
      <x:c r="Y2" s="48" t="str">
        <x:f>IF(AND(ABS(J2)&lt;='测试说明'!$B$4,ABS(M2)&lt;='测试说明'!$B$4,Q2&lt;='测试说明'!$B$4,R2&lt;='测试说明'!$B$5,N2=O2,T2=1,U2=0,IF(A2="第三题",P2&lt;='测试说明'!$B$6,TRUE)),"PASS","FAIL")</x:f>
        <x:v>PASS</x:v>
      </x:c>
      <x:c r="Z2" s="67" t="str">
        <x:v>固定等待1.5 s后采集到5帧稳定结果，未单独计量最早收敛时间</x:v>
      </x:c>
    </x:row>
    <x:row r="3" ht="20" customHeight="1">
      <x:c r="A3" s="48" t="str">
        <x:v>第一题</x:v>
      </x:c>
      <x:c r="B3" s="48" t="str">
        <x:v>Q1-02</x:v>
      </x:c>
      <x:c r="C3" s="67" t="str">
        <x:v>1:0.55,3:1.00,7:0.70</x:v>
      </x:c>
      <x:c r="D3" s="61" t="n">
        <x:v>25000</x:v>
      </x:c>
      <x:c r="E3" s="65" t="n">
        <x:v>150</x:v>
      </x:c>
      <x:c r="F3" s="61"/>
      <x:c r="G3" s="62"/>
      <x:c r="H3" s="62" t="n">
        <x:v>150</x:v>
      </x:c>
      <x:c r="I3" s="62" t="n">
        <x:v>151.7</x:v>
      </x:c>
      <x:c r="J3" s="64" t="n">
        <x:f>I3-H3</x:f>
        <x:v>1.6999999999999886</x:v>
      </x:c>
      <x:c r="K3" s="62" t="n">
        <x:v>45.80550853793836</x:v>
      </x:c>
      <x:c r="L3" s="62" t="n">
        <x:v>46.3</x:v>
      </x:c>
      <x:c r="M3" s="64" t="n">
        <x:f>L3-K3</x:f>
        <x:v>0.49449146206163874</x:v>
      </x:c>
      <x:c r="N3" s="48" t="n">
        <x:v>3</x:v>
      </x:c>
      <x:c r="O3" s="48" t="n">
        <x:v>3</x:v>
      </x:c>
      <x:c r="P3" s="62"/>
      <x:c r="Q3" s="66" t="n">
        <x:f>MAX('逐分量数据'!K4:K6)</x:f>
        <x:v>0.43109430821330363</x:v>
      </x:c>
      <x:c r="R3" s="66" t="n">
        <x:f>MAX('逐分量数据'!J4:J6)</x:f>
        <x:v>2</x:v>
      </x:c>
      <x:c r="S3" s="66" t="n">
        <x:f>MAX(ABS(J3),ABS(M3),Q3)</x:f>
        <x:v>1.6999999999999886</x:v>
      </x:c>
      <x:c r="T3" s="48" t="n">
        <x:v>1</x:v>
      </x:c>
      <x:c r="U3" s="48" t="n">
        <x:v>0</x:v>
      </x:c>
      <x:c r="V3" s="48" t="n">
        <x:v>5</x:v>
      </x:c>
      <x:c r="W3" s="48" t="str">
        <x:v>Q1-02.json</x:v>
      </x:c>
      <x:c r="X3" s="48" t="str">
        <x:v>PASS</x:v>
      </x:c>
      <x:c r="Y3" s="48" t="str">
        <x:f>IF(AND(ABS(J3)&lt;='测试说明'!$B$4,ABS(M3)&lt;='测试说明'!$B$4,Q3&lt;='测试说明'!$B$4,R3&lt;='测试说明'!$B$5,N3=O3,T3=1,U3=0,IF(A3="第三题",P3&lt;='测试说明'!$B$6,TRUE)),"PASS","FAIL")</x:f>
        <x:v>PASS</x:v>
      </x:c>
      <x:c r="Z3" s="67" t="str">
        <x:v>固定等待1.5 s后采集到5帧稳定结果，未单独计量最早收敛时间</x:v>
      </x:c>
    </x:row>
    <x:row r="4" ht="20" customHeight="1">
      <x:c r="A4" s="48" t="str">
        <x:v>第一题</x:v>
      </x:c>
      <x:c r="B4" s="48" t="str">
        <x:v>Q1-03</x:v>
      </x:c>
      <x:c r="C4" s="67" t="str">
        <x:v>1:1.00,3:0.40,5:0.70</x:v>
      </x:c>
      <x:c r="D4" s="61" t="n">
        <x:v>40000</x:v>
      </x:c>
      <x:c r="E4" s="65" t="n">
        <x:v>200</x:v>
      </x:c>
      <x:c r="F4" s="61"/>
      <x:c r="G4" s="62"/>
      <x:c r="H4" s="62" t="n">
        <x:v>200</x:v>
      </x:c>
      <x:c r="I4" s="62" t="n">
        <x:v>202.1</x:v>
      </x:c>
      <x:c r="J4" s="64" t="n">
        <x:f>I4-H4</x:f>
        <x:v>2.0999999999999943</x:v>
      </x:c>
      <x:c r="K4" s="62" t="n">
        <x:v>64.92504713502396</x:v>
      </x:c>
      <x:c r="L4" s="62" t="n">
        <x:v>65.6</x:v>
      </x:c>
      <x:c r="M4" s="64" t="n">
        <x:f>L4-K4</x:f>
        <x:v>0.674952864976035</x:v>
      </x:c>
      <x:c r="N4" s="48" t="n">
        <x:v>3</x:v>
      </x:c>
      <x:c r="O4" s="48" t="n">
        <x:v>3</x:v>
      </x:c>
      <x:c r="P4" s="62"/>
      <x:c r="Q4" s="66" t="n">
        <x:f>MAX('逐分量数据'!K7:K9)</x:f>
        <x:v>0.8198756552175865</x:v>
      </x:c>
      <x:c r="R4" s="66" t="n">
        <x:f>MAX('逐分量数据'!J7:J9)</x:f>
        <x:v>2</x:v>
      </x:c>
      <x:c r="S4" s="66" t="n">
        <x:f>MAX(ABS(J4),ABS(M4),Q4)</x:f>
        <x:v>2.0999999999999943</x:v>
      </x:c>
      <x:c r="T4" s="48" t="n">
        <x:v>1</x:v>
      </x:c>
      <x:c r="U4" s="48" t="n">
        <x:v>0</x:v>
      </x:c>
      <x:c r="V4" s="48" t="n">
        <x:v>5</x:v>
      </x:c>
      <x:c r="W4" s="48" t="str">
        <x:v>Q1-03.json</x:v>
      </x:c>
      <x:c r="X4" s="48" t="str">
        <x:v>PASS</x:v>
      </x:c>
      <x:c r="Y4" s="48" t="str">
        <x:f>IF(AND(ABS(J4)&lt;='测试说明'!$B$4,ABS(M4)&lt;='测试说明'!$B$4,Q4&lt;='测试说明'!$B$4,R4&lt;='测试说明'!$B$5,N4=O4,T4=1,U4=0,IF(A4="第三题",P4&lt;='测试说明'!$B$6,TRUE)),"PASS","FAIL")</x:f>
        <x:v>PASS</x:v>
      </x:c>
      <x:c r="Z4" s="67" t="str">
        <x:v>固定等待1.5 s后采集到5帧稳定结果，未单独计量最早收敛时间</x:v>
      </x:c>
    </x:row>
    <x:row r="5" ht="20" customHeight="1">
      <x:c r="A5" s="48" t="str">
        <x:v>第一题</x:v>
      </x:c>
      <x:c r="B5" s="48" t="str">
        <x:v>Q1-04</x:v>
      </x:c>
      <x:c r="C5" s="67" t="str">
        <x:v>1:0.60,2:1.00,4:0.45</x:v>
      </x:c>
      <x:c r="D5" s="61" t="n">
        <x:v>50000</x:v>
      </x:c>
      <x:c r="E5" s="65" t="n">
        <x:v>250</x:v>
      </x:c>
      <x:c r="F5" s="61"/>
      <x:c r="G5" s="62"/>
      <x:c r="H5" s="62" t="n">
        <x:v>250</x:v>
      </x:c>
      <x:c r="I5" s="62" t="n">
        <x:v>252.4</x:v>
      </x:c>
      <x:c r="J5" s="64" t="n">
        <x:f>I5-H5</x:f>
        <x:v>2.4000000000000057</x:v>
      </x:c>
      <x:c r="K5" s="62" t="n">
        <x:v>70.13189081626588</x:v>
      </x:c>
      <x:c r="L5" s="62" t="n">
        <x:v>70.8</x:v>
      </x:c>
      <x:c r="M5" s="64" t="n">
        <x:f>L5-K5</x:f>
        <x:v>0.6681091837341171</x:v>
      </x:c>
      <x:c r="N5" s="48" t="n">
        <x:v>3</x:v>
      </x:c>
      <x:c r="O5" s="48" t="n">
        <x:v>3</x:v>
      </x:c>
      <x:c r="P5" s="62"/>
      <x:c r="Q5" s="66" t="n">
        <x:f>MAX('逐分量数据'!K10:K12)</x:f>
        <x:v>0.7548230822141448</x:v>
      </x:c>
      <x:c r="R5" s="66" t="n">
        <x:f>MAX('逐分量数据'!J10:J12)</x:f>
        <x:v>2</x:v>
      </x:c>
      <x:c r="S5" s="66" t="n">
        <x:f>MAX(ABS(J5),ABS(M5),Q5)</x:f>
        <x:v>2.4000000000000057</x:v>
      </x:c>
      <x:c r="T5" s="48" t="n">
        <x:v>1</x:v>
      </x:c>
      <x:c r="U5" s="48" t="n">
        <x:v>0</x:v>
      </x:c>
      <x:c r="V5" s="48" t="n">
        <x:v>5</x:v>
      </x:c>
      <x:c r="W5" s="48" t="str">
        <x:v>Q1-04.json</x:v>
      </x:c>
      <x:c r="X5" s="48" t="str">
        <x:v>PASS</x:v>
      </x:c>
      <x:c r="Y5" s="48" t="str">
        <x:f>IF(AND(ABS(J5)&lt;='测试说明'!$B$4,ABS(M5)&lt;='测试说明'!$B$4,Q5&lt;='测试说明'!$B$4,R5&lt;='测试说明'!$B$5,N5=O5,T5=1,U5=0,IF(A5="第三题",P5&lt;='测试说明'!$B$6,TRUE)),"PASS","FAIL")</x:f>
        <x:v>PASS</x:v>
      </x:c>
      <x:c r="Z5" s="67" t="str">
        <x:v>固定等待1.5 s后采集到5帧稳定结果，未单独计量最早收敛时间</x:v>
      </x:c>
    </x:row>
    <x:row r="6" ht="20" customHeight="1">
      <x:c r="A6" s="48" t="str">
        <x:v>第一题</x:v>
      </x:c>
      <x:c r="B6" s="48" t="str">
        <x:v>Q1-05</x:v>
      </x:c>
      <x:c r="C6" s="67" t="str">
        <x:v>1:1.00,2:0.65</x:v>
      </x:c>
      <x:c r="D6" s="61" t="n">
        <x:v>100000</x:v>
      </x:c>
      <x:c r="E6" s="65" t="n">
        <x:v>120</x:v>
      </x:c>
      <x:c r="F6" s="61"/>
      <x:c r="G6" s="62"/>
      <x:c r="H6" s="62" t="n">
        <x:v>120</x:v>
      </x:c>
      <x:c r="I6" s="62" t="n">
        <x:v>122.4</x:v>
      </x:c>
      <x:c r="J6" s="64" t="n">
        <x:f>I6-H6</x:f>
        <x:v>2.4000000000000057</x:v>
      </x:c>
      <x:c r="K6" s="62" t="n">
        <x:v>35.32349585443351</x:v>
      </x:c>
      <x:c r="L6" s="62" t="n">
        <x:v>36</x:v>
      </x:c>
      <x:c r="M6" s="64" t="n">
        <x:f>L6-K6</x:f>
        <x:v>0.67650414556649</x:v>
      </x:c>
      <x:c r="N6" s="48" t="n">
        <x:v>2</x:v>
      </x:c>
      <x:c r="O6" s="48" t="n">
        <x:v>2</x:v>
      </x:c>
      <x:c r="P6" s="62"/>
      <x:c r="Q6" s="66" t="n">
        <x:f>MAX('逐分量数据'!K13:K14)</x:f>
        <x:v>0.8155768936709507</x:v>
      </x:c>
      <x:c r="R6" s="66" t="n">
        <x:f>MAX('逐分量数据'!J13:J14)</x:f>
        <x:v>2</x:v>
      </x:c>
      <x:c r="S6" s="66" t="n">
        <x:f>MAX(ABS(J6),ABS(M6),Q6)</x:f>
        <x:v>2.4000000000000057</x:v>
      </x:c>
      <x:c r="T6" s="48" t="n">
        <x:v>1</x:v>
      </x:c>
      <x:c r="U6" s="48" t="n">
        <x:v>0</x:v>
      </x:c>
      <x:c r="V6" s="48" t="n">
        <x:v>5</x:v>
      </x:c>
      <x:c r="W6" s="48" t="str">
        <x:v>Q1-05.json</x:v>
      </x:c>
      <x:c r="X6" s="48" t="str">
        <x:v>PASS</x:v>
      </x:c>
      <x:c r="Y6" s="48" t="str">
        <x:f>IF(AND(ABS(J6)&lt;='测试说明'!$B$4,ABS(M6)&lt;='测试说明'!$B$4,Q6&lt;='测试说明'!$B$4,R6&lt;='测试说明'!$B$5,N6=O6,T6=1,U6=0,IF(A6="第三题",P6&lt;='测试说明'!$B$6,TRUE)),"PASS","FAIL")</x:f>
        <x:v>PASS</x:v>
      </x:c>
      <x:c r="Z6" s="67" t="str">
        <x:v>固定等待1.5 s后采集到5帧稳定结果，未单独计量最早收敛时间</x:v>
      </x:c>
    </x:row>
    <x:row r="7" ht="20" customHeight="1">
      <x:c r="A7" s="48" t="str">
        <x:v>第一题</x:v>
      </x:c>
      <x:c r="B7" s="48" t="str">
        <x:v>Q1-06</x:v>
      </x:c>
      <x:c r="C7" s="67" t="str">
        <x:v>1:1.00,4:0.50</x:v>
      </x:c>
      <x:c r="D7" s="61" t="n">
        <x:v>20000</x:v>
      </x:c>
      <x:c r="E7" s="65" t="n">
        <x:v>180</x:v>
      </x:c>
      <x:c r="F7" s="61"/>
      <x:c r="G7" s="62"/>
      <x:c r="H7" s="62" t="n">
        <x:v>180</x:v>
      </x:c>
      <x:c r="I7" s="62" t="n">
        <x:v>182.2</x:v>
      </x:c>
      <x:c r="J7" s="64" t="n">
        <x:f>I7-H7</x:f>
        <x:v>2.1999999999999886</x:v>
      </x:c>
      <x:c r="K7" s="62" t="n">
        <x:v>49.68395960000385</x:v>
      </x:c>
      <x:c r="L7" s="62" t="n">
        <x:v>50.3</x:v>
      </x:c>
      <x:c r="M7" s="64" t="n">
        <x:f>L7-K7</x:f>
        <x:v>0.6160403999961446</x:v>
      </x:c>
      <x:c r="N7" s="48" t="n">
        <x:v>2</x:v>
      </x:c>
      <x:c r="O7" s="48" t="n">
        <x:v>2</x:v>
      </x:c>
      <x:c r="P7" s="62"/>
      <x:c r="Q7" s="66" t="n">
        <x:f>MAX('逐分量数据'!K15:K16)</x:f>
        <x:v>0.9542097952798088</x:v>
      </x:c>
      <x:c r="R7" s="66" t="n">
        <x:f>MAX('逐分量数据'!J15:J16)</x:f>
        <x:v>1</x:v>
      </x:c>
      <x:c r="S7" s="66" t="n">
        <x:f>MAX(ABS(J7),ABS(M7),Q7)</x:f>
        <x:v>2.1999999999999886</x:v>
      </x:c>
      <x:c r="T7" s="48" t="n">
        <x:v>1</x:v>
      </x:c>
      <x:c r="U7" s="48" t="n">
        <x:v>0</x:v>
      </x:c>
      <x:c r="V7" s="48" t="n">
        <x:v>5</x:v>
      </x:c>
      <x:c r="W7" s="48" t="str">
        <x:v>Q1-06.json</x:v>
      </x:c>
      <x:c r="X7" s="48" t="str">
        <x:v>PASS</x:v>
      </x:c>
      <x:c r="Y7" s="48" t="str">
        <x:f>IF(AND(ABS(J7)&lt;='测试说明'!$B$4,ABS(M7)&lt;='测试说明'!$B$4,Q7&lt;='测试说明'!$B$4,R7&lt;='测试说明'!$B$5,N7=O7,T7=1,U7=0,IF(A7="第三题",P7&lt;='测试说明'!$B$6,TRUE)),"PASS","FAIL")</x:f>
        <x:v>PASS</x:v>
      </x:c>
      <x:c r="Z7" s="67" t="str">
        <x:v>固定等待1.5 s后采集到5帧稳定结果，未单独计量最早收敛时间</x:v>
      </x:c>
    </x:row>
    <x:row r="8" ht="20" customHeight="1">
      <x:c r="A8" s="48" t="str">
        <x:v>第一题</x:v>
      </x:c>
      <x:c r="B8" s="48" t="str">
        <x:v>Q1-07</x:v>
      </x:c>
      <x:c r="C8" s="67" t="str">
        <x:v>1:0.75,2:1.00,3:0.45</x:v>
      </x:c>
      <x:c r="D8" s="61" t="n">
        <x:v>60000</x:v>
      </x:c>
      <x:c r="E8" s="65" t="n">
        <x:v>220</x:v>
      </x:c>
      <x:c r="F8" s="61"/>
      <x:c r="G8" s="62"/>
      <x:c r="H8" s="62" t="n">
        <x:v>220</x:v>
      </x:c>
      <x:c r="I8" s="62" t="n">
        <x:v>222</x:v>
      </x:c>
      <x:c r="J8" s="64" t="n">
        <x:f>I8-H8</x:f>
        <x:v>2</x:v>
      </x:c>
      <x:c r="K8" s="62" t="n">
        <x:v>55.54266321371708</x:v>
      </x:c>
      <x:c r="L8" s="62" t="n">
        <x:v>56.1</x:v>
      </x:c>
      <x:c r="M8" s="64" t="n">
        <x:f>L8-K8</x:f>
        <x:v>0.5573367862829244</x:v>
      </x:c>
      <x:c r="N8" s="48" t="n">
        <x:v>3</x:v>
      </x:c>
      <x:c r="O8" s="48" t="n">
        <x:v>3</x:v>
      </x:c>
      <x:c r="P8" s="62"/>
      <x:c r="Q8" s="66" t="n">
        <x:f>MAX('逐分量数据'!K17:K19)</x:f>
        <x:v>0.5752465343266167</x:v>
      </x:c>
      <x:c r="R8" s="66" t="n">
        <x:f>MAX('逐分量数据'!J17:J19)</x:f>
        <x:v>2</x:v>
      </x:c>
      <x:c r="S8" s="66" t="n">
        <x:f>MAX(ABS(J8),ABS(M8),Q8)</x:f>
        <x:v>2</x:v>
      </x:c>
      <x:c r="T8" s="48" t="n">
        <x:v>1</x:v>
      </x:c>
      <x:c r="U8" s="48" t="n">
        <x:v>0</x:v>
      </x:c>
      <x:c r="V8" s="48" t="n">
        <x:v>5</x:v>
      </x:c>
      <x:c r="W8" s="48" t="str">
        <x:v>Q1-07.json</x:v>
      </x:c>
      <x:c r="X8" s="48" t="str">
        <x:v>PASS</x:v>
      </x:c>
      <x:c r="Y8" s="48" t="str">
        <x:f>IF(AND(ABS(J8)&lt;='测试说明'!$B$4,ABS(M8)&lt;='测试说明'!$B$4,Q8&lt;='测试说明'!$B$4,R8&lt;='测试说明'!$B$5,N8=O8,T8=1,U8=0,IF(A8="第三题",P8&lt;='测试说明'!$B$6,TRUE)),"PASS","FAIL")</x:f>
        <x:v>PASS</x:v>
      </x:c>
      <x:c r="Z8" s="67" t="str">
        <x:v>固定等待1.5 s后采集到5帧稳定结果，未单独计量最早收敛时间</x:v>
      </x:c>
    </x:row>
    <x:row r="9" ht="20" customHeight="1">
      <x:c r="A9" s="48" t="str">
        <x:v>第一题</x:v>
      </x:c>
      <x:c r="B9" s="48" t="str">
        <x:v>Q1-08</x:v>
      </x:c>
      <x:c r="C9" s="67" t="str">
        <x:v>1:1.00,3:0.80</x:v>
      </x:c>
      <x:c r="D9" s="61" t="n">
        <x:v>65000</x:v>
      </x:c>
      <x:c r="E9" s="65" t="n">
        <x:v>130</x:v>
      </x:c>
      <x:c r="F9" s="61"/>
      <x:c r="G9" s="62"/>
      <x:c r="H9" s="62" t="n">
        <x:v>130</x:v>
      </x:c>
      <x:c r="I9" s="62" t="n">
        <x:v>131.3</x:v>
      </x:c>
      <x:c r="J9" s="64" t="n">
        <x:f>I9-H9</x:f>
        <x:v>1.3000000000000114</x:v>
      </x:c>
      <x:c r="K9" s="62" t="n">
        <x:v>43.635321906327505</x:v>
      </x:c>
      <x:c r="L9" s="62" t="n">
        <x:v>44</x:v>
      </x:c>
      <x:c r="M9" s="64" t="n">
        <x:f>L9-K9</x:f>
        <x:v>0.36467809367249515</x:v>
      </x:c>
      <x:c r="N9" s="48" t="n">
        <x:v>2</x:v>
      </x:c>
      <x:c r="O9" s="48" t="n">
        <x:v>2</x:v>
      </x:c>
      <x:c r="P9" s="62"/>
      <x:c r="Q9" s="66" t="n">
        <x:f>MAX('逐分量数据'!K20:K21)</x:f>
        <x:v>0.4502784889365685</x:v>
      </x:c>
      <x:c r="R9" s="66" t="n">
        <x:f>MAX('逐分量数据'!J20:J21)</x:f>
        <x:v>2</x:v>
      </x:c>
      <x:c r="S9" s="66" t="n">
        <x:f>MAX(ABS(J9),ABS(M9),Q9)</x:f>
        <x:v>1.3000000000000114</x:v>
      </x:c>
      <x:c r="T9" s="48" t="n">
        <x:v>1</x:v>
      </x:c>
      <x:c r="U9" s="48" t="n">
        <x:v>0</x:v>
      </x:c>
      <x:c r="V9" s="48" t="n">
        <x:v>5</x:v>
      </x:c>
      <x:c r="W9" s="48" t="str">
        <x:v>Q1-08.json</x:v>
      </x:c>
      <x:c r="X9" s="48" t="str">
        <x:v>PASS</x:v>
      </x:c>
      <x:c r="Y9" s="48" t="str">
        <x:f>IF(AND(ABS(J9)&lt;='测试说明'!$B$4,ABS(M9)&lt;='测试说明'!$B$4,Q9&lt;='测试说明'!$B$4,R9&lt;='测试说明'!$B$5,N9=O9,T9=1,U9=0,IF(A9="第三题",P9&lt;='测试说明'!$B$6,TRUE)),"PASS","FAIL")</x:f>
        <x:v>PASS</x:v>
      </x:c>
      <x:c r="Z9" s="67" t="str">
        <x:v>固定等待1.5 s后采集到5帧稳定结果，未单独计量最早收敛时间</x:v>
      </x:c>
    </x:row>
    <x:row r="10" ht="20" customHeight="1">
      <x:c r="A10" s="48" t="str">
        <x:v>第一题</x:v>
      </x:c>
      <x:c r="B10" s="48" t="str">
        <x:v>Q1-09</x:v>
      </x:c>
      <x:c r="C10" s="67" t="str">
        <x:v>1:0.80,2:0.50,4:1.00</x:v>
      </x:c>
      <x:c r="D10" s="61" t="n">
        <x:v>45000</x:v>
      </x:c>
      <x:c r="E10" s="65" t="n">
        <x:v>175</x:v>
      </x:c>
      <x:c r="F10" s="61"/>
      <x:c r="G10" s="62"/>
      <x:c r="H10" s="62" t="n">
        <x:v>175</x:v>
      </x:c>
      <x:c r="I10" s="62" t="n">
        <x:v>176.8</x:v>
      </x:c>
      <x:c r="J10" s="64" t="n">
        <x:f>I10-H10</x:f>
        <x:v>1.8000000000000114</x:v>
      </x:c>
      <x:c r="K10" s="62" t="n">
        <x:v>49.48716052643197</x:v>
      </x:c>
      <x:c r="L10" s="62" t="n">
        <x:v>50</x:v>
      </x:c>
      <x:c r="M10" s="64" t="n">
        <x:f>L10-K10</x:f>
        <x:v>0.5128394735680288</x:v>
      </x:c>
      <x:c r="N10" s="48" t="n">
        <x:v>3</x:v>
      </x:c>
      <x:c r="O10" s="48" t="n">
        <x:v>3</x:v>
      </x:c>
      <x:c r="P10" s="62"/>
      <x:c r="Q10" s="66" t="n">
        <x:f>MAX('逐分量数据'!K22:K24)</x:f>
        <x:v>0.5931023377316507</x:v>
      </x:c>
      <x:c r="R10" s="66" t="n">
        <x:f>MAX('逐分量数据'!J22:J24)</x:f>
        <x:v>2</x:v>
      </x:c>
      <x:c r="S10" s="66" t="n">
        <x:f>MAX(ABS(J10),ABS(M10),Q10)</x:f>
        <x:v>1.8000000000000114</x:v>
      </x:c>
      <x:c r="T10" s="48" t="n">
        <x:v>1</x:v>
      </x:c>
      <x:c r="U10" s="48" t="n">
        <x:v>0</x:v>
      </x:c>
      <x:c r="V10" s="48" t="n">
        <x:v>5</x:v>
      </x:c>
      <x:c r="W10" s="48" t="str">
        <x:v>Q1-09.json</x:v>
      </x:c>
      <x:c r="X10" s="48" t="str">
        <x:v>PASS</x:v>
      </x:c>
      <x:c r="Y10" s="48" t="str">
        <x:f>IF(AND(ABS(J10)&lt;='测试说明'!$B$4,ABS(M10)&lt;='测试说明'!$B$4,Q10&lt;='测试说明'!$B$4,R10&lt;='测试说明'!$B$5,N10=O10,T10=1,U10=0,IF(A10="第三题",P10&lt;='测试说明'!$B$6,TRUE)),"PASS","FAIL")</x:f>
        <x:v>PASS</x:v>
      </x:c>
      <x:c r="Z10" s="67" t="str">
        <x:v>固定等待1.5 s后采集到5帧稳定结果，未单独计量最早收敛时间</x:v>
      </x:c>
    </x:row>
    <x:row r="11" ht="20" customHeight="1">
      <x:c r="A11" s="48" t="str">
        <x:v>第一题</x:v>
      </x:c>
      <x:c r="B11" s="48" t="str">
        <x:v>Q1-10</x:v>
      </x:c>
      <x:c r="C11" s="67" t="str">
        <x:v>1:1.00,2:0.35,5:0.60</x:v>
      </x:c>
      <x:c r="D11" s="61" t="n">
        <x:v>35000</x:v>
      </x:c>
      <x:c r="E11" s="65" t="n">
        <x:v>230</x:v>
      </x:c>
      <x:c r="F11" s="61"/>
      <x:c r="G11" s="62"/>
      <x:c r="H11" s="62" t="n">
        <x:v>230</x:v>
      </x:c>
      <x:c r="I11" s="62" t="n">
        <x:v>232.7</x:v>
      </x:c>
      <x:c r="J11" s="64" t="n">
        <x:f>I11-H11</x:f>
        <x:v>2.6999999999999886</x:v>
      </x:c>
      <x:c r="K11" s="62" t="n">
        <x:v>61.294102437522305</x:v>
      </x:c>
      <x:c r="L11" s="62" t="n">
        <x:v>62</x:v>
      </x:c>
      <x:c r="M11" s="64" t="n">
        <x:f>L11-K11</x:f>
        <x:v>0.7058975624776949</x:v>
      </x:c>
      <x:c r="N11" s="48" t="n">
        <x:v>3</x:v>
      </x:c>
      <x:c r="O11" s="48" t="n">
        <x:v>3</x:v>
      </x:c>
      <x:c r="P11" s="62"/>
      <x:c r="Q11" s="66" t="n">
        <x:f>MAX('逐分量数据'!K25:K27)</x:f>
        <x:v>0.9071569466504741</x:v>
      </x:c>
      <x:c r="R11" s="66" t="n">
        <x:f>MAX('逐分量数据'!J25:J27)</x:f>
        <x:v>2</x:v>
      </x:c>
      <x:c r="S11" s="66" t="n">
        <x:f>MAX(ABS(J11),ABS(M11),Q11)</x:f>
        <x:v>2.6999999999999886</x:v>
      </x:c>
      <x:c r="T11" s="48" t="n">
        <x:v>1</x:v>
      </x:c>
      <x:c r="U11" s="48" t="n">
        <x:v>0</x:v>
      </x:c>
      <x:c r="V11" s="48" t="n">
        <x:v>5</x:v>
      </x:c>
      <x:c r="W11" s="48" t="str">
        <x:v>Q1-10.json</x:v>
      </x:c>
      <x:c r="X11" s="48" t="str">
        <x:v>PASS</x:v>
      </x:c>
      <x:c r="Y11" s="48" t="str">
        <x:f>IF(AND(ABS(J11)&lt;='测试说明'!$B$4,ABS(M11)&lt;='测试说明'!$B$4,Q11&lt;='测试说明'!$B$4,R11&lt;='测试说明'!$B$5,N11=O11,T11=1,U11=0,IF(A11="第三题",P11&lt;='测试说明'!$B$6,TRUE)),"PASS","FAIL")</x:f>
        <x:v>PASS</x:v>
      </x:c>
      <x:c r="Z11" s="67" t="str">
        <x:v>固定等待1.5 s后采集到5帧稳定结果，未单独计量最早收敛时间</x:v>
      </x:c>
    </x:row>
    <x:row r="12" ht="20" customHeight="1">
      <x:c r="A12" s="48" t="str">
        <x:v>第二题</x:v>
      </x:c>
      <x:c r="B12" s="48" t="str">
        <x:v>Q2-01</x:v>
      </x:c>
      <x:c r="C12" s="67" t="str">
        <x:v>1:1.00,50:0.70</x:v>
      </x:c>
      <x:c r="D12" s="61" t="n">
        <x:v>10000</x:v>
      </x:c>
      <x:c r="E12" s="65" t="n">
        <x:v>50</x:v>
      </x:c>
      <x:c r="F12" s="61"/>
      <x:c r="G12" s="62"/>
      <x:c r="H12" s="62" t="n">
        <x:v>50</x:v>
      </x:c>
      <x:c r="I12" s="62" t="n">
        <x:v>51.3</x:v>
      </x:c>
      <x:c r="J12" s="64" t="n">
        <x:f>I12-H12</x:f>
        <x:v>1.2999999999999972</x:v>
      </x:c>
      <x:c r="K12" s="62" t="n">
        <x:v>12.696829850657624</x:v>
      </x:c>
      <x:c r="L12" s="62" t="n">
        <x:v>13</x:v>
      </x:c>
      <x:c r="M12" s="64" t="n">
        <x:f>L12-K12</x:f>
        <x:v>0.3031701493423764</x:v>
      </x:c>
      <x:c r="N12" s="48" t="n">
        <x:v>2</x:v>
      </x:c>
      <x:c r="O12" s="48" t="n">
        <x:v>2</x:v>
      </x:c>
      <x:c r="P12" s="62"/>
      <x:c r="Q12" s="66" t="n">
        <x:f>MAX('逐分量数据'!K28:K29)</x:f>
        <x:v>0.38984789878067083</x:v>
      </x:c>
      <x:c r="R12" s="66" t="n">
        <x:f>MAX('逐分量数据'!J28:J29)</x:f>
        <x:v>2</x:v>
      </x:c>
      <x:c r="S12" s="66" t="n">
        <x:f>MAX(ABS(J12),ABS(M12),Q12)</x:f>
        <x:v>1.2999999999999972</x:v>
      </x:c>
      <x:c r="T12" s="48" t="n">
        <x:v>1</x:v>
      </x:c>
      <x:c r="U12" s="48" t="n">
        <x:v>0</x:v>
      </x:c>
      <x:c r="V12" s="48" t="n">
        <x:v>5</x:v>
      </x:c>
      <x:c r="W12" s="48" t="str">
        <x:v>Q2-01.json</x:v>
      </x:c>
      <x:c r="X12" s="48" t="str">
        <x:v>PASS</x:v>
      </x:c>
      <x:c r="Y12" s="48" t="str">
        <x:f>IF(AND(ABS(J12)&lt;='测试说明'!$B$4,ABS(M12)&lt;='测试说明'!$B$4,Q12&lt;='测试说明'!$B$4,R12&lt;='测试说明'!$B$5,N12=O12,T12=1,U12=0,IF(A12="第三题",P12&lt;='测试说明'!$B$6,TRUE)),"PASS","FAIL")</x:f>
        <x:v>PASS</x:v>
      </x:c>
      <x:c r="Z12" s="67" t="str">
        <x:v>固定等待1.5 s后采集到5帧稳定结果，未单独计量最早收敛时间</x:v>
      </x:c>
    </x:row>
    <x:row r="13" ht="20" customHeight="1">
      <x:c r="A13" s="48" t="str">
        <x:v>第二题</x:v>
      </x:c>
      <x:c r="B13" s="48" t="str">
        <x:v>Q2-02</x:v>
      </x:c>
      <x:c r="C13" s="67" t="str">
        <x:v>1:0.55,12:1.00,25:0.65</x:v>
      </x:c>
      <x:c r="D13" s="61" t="n">
        <x:v>20000</x:v>
      </x:c>
      <x:c r="E13" s="65" t="n">
        <x:v>75</x:v>
      </x:c>
      <x:c r="F13" s="61"/>
      <x:c r="G13" s="62"/>
      <x:c r="H13" s="62" t="n">
        <x:v>75</x:v>
      </x:c>
      <x:c r="I13" s="62" t="n">
        <x:v>76.7</x:v>
      </x:c>
      <x:c r="J13" s="64" t="n">
        <x:f>I13-H13</x:f>
        <x:v>1.7000000000000028</x:v>
      </x:c>
      <x:c r="K13" s="62" t="n">
        <x:v>22.27019634717149</x:v>
      </x:c>
      <x:c r="L13" s="62" t="n">
        <x:v>22.8</x:v>
      </x:c>
      <x:c r="M13" s="64" t="n">
        <x:f>L13-K13</x:f>
        <x:v>0.5298036528285124</x:v>
      </x:c>
      <x:c r="N13" s="48" t="n">
        <x:v>3</x:v>
      </x:c>
      <x:c r="O13" s="48" t="n">
        <x:v>3</x:v>
      </x:c>
      <x:c r="P13" s="62"/>
      <x:c r="Q13" s="66" t="n">
        <x:f>MAX('逐分量数据'!K30:K32)</x:f>
        <x:v>0.5202586628020107</x:v>
      </x:c>
      <x:c r="R13" s="66" t="n">
        <x:f>MAX('逐分量数据'!J30:J32)</x:f>
        <x:v>3</x:v>
      </x:c>
      <x:c r="S13" s="66" t="n">
        <x:f>MAX(ABS(J13),ABS(M13),Q13)</x:f>
        <x:v>1.7000000000000028</x:v>
      </x:c>
      <x:c r="T13" s="48" t="n">
        <x:v>1</x:v>
      </x:c>
      <x:c r="U13" s="48" t="n">
        <x:v>0</x:v>
      </x:c>
      <x:c r="V13" s="48" t="n">
        <x:v>5</x:v>
      </x:c>
      <x:c r="W13" s="48" t="str">
        <x:v>Q2-02.json</x:v>
      </x:c>
      <x:c r="X13" s="48" t="str">
        <x:v>PASS</x:v>
      </x:c>
      <x:c r="Y13" s="48" t="str">
        <x:f>IF(AND(ABS(J13)&lt;='测试说明'!$B$4,ABS(M13)&lt;='测试说明'!$B$4,Q13&lt;='测试说明'!$B$4,R13&lt;='测试说明'!$B$5,N13=O13,T13=1,U13=0,IF(A13="第三题",P13&lt;='测试说明'!$B$6,TRUE)),"PASS","FAIL")</x:f>
        <x:v>PASS</x:v>
      </x:c>
      <x:c r="Z13" s="67" t="str">
        <x:v>固定等待1.5 s后采集到5帧稳定结果，未单独计量最早收敛时间</x:v>
      </x:c>
    </x:row>
    <x:row r="14" ht="20" customHeight="1">
      <x:c r="A14" s="48" t="str">
        <x:v>第二题</x:v>
      </x:c>
      <x:c r="B14" s="48" t="str">
        <x:v>Q2-03</x:v>
      </x:c>
      <x:c r="C14" s="67" t="str">
        <x:v>1:0.50,5:1.00,10:0.70</x:v>
      </x:c>
      <x:c r="D14" s="61" t="n">
        <x:v>50000</x:v>
      </x:c>
      <x:c r="E14" s="65" t="n">
        <x:v>125</x:v>
      </x:c>
      <x:c r="F14" s="61"/>
      <x:c r="G14" s="62"/>
      <x:c r="H14" s="62" t="n">
        <x:v>125</x:v>
      </x:c>
      <x:c r="I14" s="62" t="n">
        <x:v>127.9</x:v>
      </x:c>
      <x:c r="J14" s="64" t="n">
        <x:f>I14-H14</x:f>
        <x:v>2.9000000000000057</x:v>
      </x:c>
      <x:c r="K14" s="62" t="n">
        <x:v>29.52430970453572</x:v>
      </x:c>
      <x:c r="L14" s="62" t="n">
        <x:v>30.2</x:v>
      </x:c>
      <x:c r="M14" s="64" t="n">
        <x:f>L14-K14</x:f>
        <x:v>0.6756902954642783</x:v>
      </x:c>
      <x:c r="N14" s="48" t="n">
        <x:v>3</x:v>
      </x:c>
      <x:c r="O14" s="48" t="n">
        <x:v>3</x:v>
      </x:c>
      <x:c r="P14" s="62"/>
      <x:c r="Q14" s="66" t="n">
        <x:f>MAX('逐分量数据'!K33:K35)</x:f>
        <x:v>0.7466174833340986</x:v>
      </x:c>
      <x:c r="R14" s="66" t="n">
        <x:f>MAX('逐分量数据'!J33:J35)</x:f>
        <x:v>3</x:v>
      </x:c>
      <x:c r="S14" s="66" t="n">
        <x:f>MAX(ABS(J14),ABS(M14),Q14)</x:f>
        <x:v>2.9000000000000057</x:v>
      </x:c>
      <x:c r="T14" s="48" t="n">
        <x:v>1</x:v>
      </x:c>
      <x:c r="U14" s="48" t="n">
        <x:v>0</x:v>
      </x:c>
      <x:c r="V14" s="48" t="n">
        <x:v>5</x:v>
      </x:c>
      <x:c r="W14" s="48" t="str">
        <x:v>Q2-03.json</x:v>
      </x:c>
      <x:c r="X14" s="48" t="str">
        <x:v>PASS</x:v>
      </x:c>
      <x:c r="Y14" s="48" t="str">
        <x:f>IF(AND(ABS(J14)&lt;='测试说明'!$B$4,ABS(M14)&lt;='测试说明'!$B$4,Q14&lt;='测试说明'!$B$4,R14&lt;='测试说明'!$B$5,N14=O14,T14=1,U14=0,IF(A14="第三题",P14&lt;='测试说明'!$B$6,TRUE)),"PASS","FAIL")</x:f>
        <x:v>PASS</x:v>
      </x:c>
      <x:c r="Z14" s="67" t="str">
        <x:v>固定等待1.5 s后采集到5帧稳定结果，未单独计量最早收敛时间</x:v>
      </x:c>
    </x:row>
    <x:row r="15" ht="20" customHeight="1">
      <x:c r="A15" s="48" t="str">
        <x:v>第二题</x:v>
      </x:c>
      <x:c r="B15" s="48" t="str">
        <x:v>Q2-04</x:v>
      </x:c>
      <x:c r="C15" s="67" t="str">
        <x:v>1:0.45,3:1.00,6:0.60</x:v>
      </x:c>
      <x:c r="D15" s="61" t="n">
        <x:v>80000</x:v>
      </x:c>
      <x:c r="E15" s="65" t="n">
        <x:v>180</x:v>
      </x:c>
      <x:c r="F15" s="61"/>
      <x:c r="G15" s="62"/>
      <x:c r="H15" s="62" t="n">
        <x:v>180</x:v>
      </x:c>
      <x:c r="I15" s="62" t="n">
        <x:v>182.1</x:v>
      </x:c>
      <x:c r="J15" s="64" t="n">
        <x:f>I15-H15</x:f>
        <x:v>2.0999999999999943</x:v>
      </x:c>
      <x:c r="K15" s="62" t="n">
        <x:v>47.27950832188868</x:v>
      </x:c>
      <x:c r="L15" s="62" t="n">
        <x:v>47.8</x:v>
      </x:c>
      <x:c r="M15" s="64" t="n">
        <x:f>L15-K15</x:f>
        <x:v>0.5204916781113198</x:v>
      </x:c>
      <x:c r="N15" s="48" t="n">
        <x:v>3</x:v>
      </x:c>
      <x:c r="O15" s="48" t="n">
        <x:v>3</x:v>
      </x:c>
      <x:c r="P15" s="62"/>
      <x:c r="Q15" s="66" t="n">
        <x:f>MAX('逐分量数据'!K36:K38)</x:f>
        <x:v>0.6056054922496514</x:v>
      </x:c>
      <x:c r="R15" s="66" t="n">
        <x:f>MAX('逐分量数据'!J36:J38)</x:f>
        <x:v>5</x:v>
      </x:c>
      <x:c r="S15" s="66" t="n">
        <x:f>MAX(ABS(J15),ABS(M15),Q15)</x:f>
        <x:v>2.0999999999999943</x:v>
      </x:c>
      <x:c r="T15" s="48" t="n">
        <x:v>1</x:v>
      </x:c>
      <x:c r="U15" s="48" t="n">
        <x:v>0</x:v>
      </x:c>
      <x:c r="V15" s="48" t="n">
        <x:v>5</x:v>
      </x:c>
      <x:c r="W15" s="48" t="str">
        <x:v>Q2-04.json</x:v>
      </x:c>
      <x:c r="X15" s="48" t="str">
        <x:v>PASS</x:v>
      </x:c>
      <x:c r="Y15" s="48" t="str">
        <x:f>IF(AND(ABS(J15)&lt;='测试说明'!$B$4,ABS(M15)&lt;='测试说明'!$B$4,Q15&lt;='测试说明'!$B$4,R15&lt;='测试说明'!$B$5,N15=O15,T15=1,U15=0,IF(A15="第三题",P15&lt;='测试说明'!$B$6,TRUE)),"PASS","FAIL")</x:f>
        <x:v>PASS</x:v>
      </x:c>
      <x:c r="Z15" s="67" t="str">
        <x:v>固定等待1.5 s后采集到5帧稳定结果，未单独计量最早收敛时间</x:v>
      </x:c>
    </x:row>
    <x:row r="16" ht="20" customHeight="1">
      <x:c r="A16" s="48" t="str">
        <x:v>第二题</x:v>
      </x:c>
      <x:c r="B16" s="48" t="str">
        <x:v>Q2-05</x:v>
      </x:c>
      <x:c r="C16" s="67" t="str">
        <x:v>1:0.40,3:1.00,5:0.55</x:v>
      </x:c>
      <x:c r="D16" s="61" t="n">
        <x:v>100000</x:v>
      </x:c>
      <x:c r="E16" s="65" t="n">
        <x:v>250</x:v>
      </x:c>
      <x:c r="F16" s="61"/>
      <x:c r="G16" s="62"/>
      <x:c r="H16" s="62" t="n">
        <x:v>250</x:v>
      </x:c>
      <x:c r="I16" s="62" t="n">
        <x:v>253.3</x:v>
      </x:c>
      <x:c r="J16" s="64" t="n">
        <x:f>I16-H16</x:f>
        <x:v>3.3000000000000114</x:v>
      </x:c>
      <x:c r="K16" s="62" t="n">
        <x:v>67.21762017372565</x:v>
      </x:c>
      <x:c r="L16" s="62" t="n">
        <x:v>68.1</x:v>
      </x:c>
      <x:c r="M16" s="64" t="n">
        <x:f>L16-K16</x:f>
        <x:v>0.8823798262743452</x:v>
      </x:c>
      <x:c r="N16" s="48" t="n">
        <x:v>3</x:v>
      </x:c>
      <x:c r="O16" s="48" t="n">
        <x:v>3</x:v>
      </x:c>
      <x:c r="P16" s="62"/>
      <x:c r="Q16" s="66" t="n">
        <x:f>MAX('逐分量数据'!K39:K41)</x:f>
        <x:v>0.8949962505332962</x:v>
      </x:c>
      <x:c r="R16" s="66" t="n">
        <x:f>MAX('逐分量数据'!J39:J41)</x:f>
        <x:v>3</x:v>
      </x:c>
      <x:c r="S16" s="66" t="n">
        <x:f>MAX(ABS(J16),ABS(M16),Q16)</x:f>
        <x:v>3.3000000000000114</x:v>
      </x:c>
      <x:c r="T16" s="48" t="n">
        <x:v>1</x:v>
      </x:c>
      <x:c r="U16" s="48" t="n">
        <x:v>0</x:v>
      </x:c>
      <x:c r="V16" s="48" t="n">
        <x:v>5</x:v>
      </x:c>
      <x:c r="W16" s="48" t="str">
        <x:v>Q2-05.json</x:v>
      </x:c>
      <x:c r="X16" s="48" t="str">
        <x:v>PASS</x:v>
      </x:c>
      <x:c r="Y16" s="48" t="str">
        <x:f>IF(AND(ABS(J16)&lt;='测试说明'!$B$4,ABS(M16)&lt;='测试说明'!$B$4,Q16&lt;='测试说明'!$B$4,R16&lt;='测试说明'!$B$5,N16=O16,T16=1,U16=0,IF(A16="第三题",P16&lt;='测试说明'!$B$6,TRUE)),"PASS","FAIL")</x:f>
        <x:v>PASS</x:v>
      </x:c>
      <x:c r="Z16" s="67" t="str">
        <x:v>固定等待1.5 s后采集到5帧稳定结果，未单独计量最早收敛时间</x:v>
      </x:c>
    </x:row>
    <x:row r="17" ht="20" customHeight="1">
      <x:c r="A17" s="48" t="str">
        <x:v>第二题</x:v>
      </x:c>
      <x:c r="B17" s="48" t="str">
        <x:v>Q2-06</x:v>
      </x:c>
      <x:c r="C17" s="67" t="str">
        <x:v>1:1.00,7:0.55</x:v>
      </x:c>
      <x:c r="D17" s="61" t="n">
        <x:v>70000</x:v>
      </x:c>
      <x:c r="E17" s="65" t="n">
        <x:v>100</x:v>
      </x:c>
      <x:c r="F17" s="61"/>
      <x:c r="G17" s="62"/>
      <x:c r="H17" s="62" t="n">
        <x:v>100</x:v>
      </x:c>
      <x:c r="I17" s="62" t="n">
        <x:v>102.2</x:v>
      </x:c>
      <x:c r="J17" s="64" t="n">
        <x:f>I17-H17</x:f>
        <x:v>2.200000000000003</x:v>
      </x:c>
      <x:c r="K17" s="62" t="n">
        <x:v>27.744377133207877</x:v>
      </x:c>
      <x:c r="L17" s="62" t="n">
        <x:v>28.3</x:v>
      </x:c>
      <x:c r="M17" s="64" t="n">
        <x:f>L17-K17</x:f>
        <x:v>0.5556228667921239</x:v>
      </x:c>
      <x:c r="N17" s="48" t="n">
        <x:v>2</x:v>
      </x:c>
      <x:c r="O17" s="48" t="n">
        <x:v>2</x:v>
      </x:c>
      <x:c r="P17" s="62"/>
      <x:c r="Q17" s="66" t="n">
        <x:f>MAX('逐分量数据'!K42:K43)</x:f>
        <x:v>0.6203769116055255</x:v>
      </x:c>
      <x:c r="R17" s="66" t="n">
        <x:f>MAX('逐分量数据'!J42:J43)</x:f>
        <x:v>5</x:v>
      </x:c>
      <x:c r="S17" s="66" t="n">
        <x:f>MAX(ABS(J17),ABS(M17),Q17)</x:f>
        <x:v>2.200000000000003</x:v>
      </x:c>
      <x:c r="T17" s="48" t="n">
        <x:v>1</x:v>
      </x:c>
      <x:c r="U17" s="48" t="n">
        <x:v>0</x:v>
      </x:c>
      <x:c r="V17" s="48" t="n">
        <x:v>5</x:v>
      </x:c>
      <x:c r="W17" s="48" t="str">
        <x:v>Q2-06.json</x:v>
      </x:c>
      <x:c r="X17" s="48" t="str">
        <x:v>PASS</x:v>
      </x:c>
      <x:c r="Y17" s="48" t="str">
        <x:f>IF(AND(ABS(J17)&lt;='测试说明'!$B$4,ABS(M17)&lt;='测试说明'!$B$4,Q17&lt;='测试说明'!$B$4,R17&lt;='测试说明'!$B$5,N17=O17,T17=1,U17=0,IF(A17="第三题",P17&lt;='测试说明'!$B$6,TRUE)),"PASS","FAIL")</x:f>
        <x:v>PASS</x:v>
      </x:c>
      <x:c r="Z17" s="67" t="str">
        <x:v>固定等待1.5 s后采集到5帧稳定结果，未单独计量最早收敛时间</x:v>
      </x:c>
    </x:row>
    <x:row r="18" ht="20" customHeight="1">
      <x:c r="A18" s="48" t="str">
        <x:v>第二题</x:v>
      </x:c>
      <x:c r="B18" s="48" t="str">
        <x:v>Q2-07</x:v>
      </x:c>
      <x:c r="C18" s="67" t="str">
        <x:v>1:0.85,2:0.60,4:1.00</x:v>
      </x:c>
      <x:c r="D18" s="61" t="n">
        <x:v>120000</x:v>
      </x:c>
      <x:c r="E18" s="65" t="n">
        <x:v>150</x:v>
      </x:c>
      <x:c r="F18" s="61"/>
      <x:c r="G18" s="62"/>
      <x:c r="H18" s="62" t="n">
        <x:v>150</x:v>
      </x:c>
      <x:c r="I18" s="62" t="n">
        <x:v>152.1</x:v>
      </x:c>
      <x:c r="J18" s="64" t="n">
        <x:f>I18-H18</x:f>
        <x:v>2.0999999999999943</x:v>
      </x:c>
      <x:c r="K18" s="62" t="n">
        <x:v>41.961900490517024</x:v>
      </x:c>
      <x:c r="L18" s="62" t="n">
        <x:v>42.5</x:v>
      </x:c>
      <x:c r="M18" s="64" t="n">
        <x:f>L18-K18</x:f>
        <x:v>0.5380995094829757</x:v>
      </x:c>
      <x:c r="N18" s="48" t="n">
        <x:v>3</x:v>
      </x:c>
      <x:c r="O18" s="48" t="n">
        <x:v>3</x:v>
      </x:c>
      <x:c r="P18" s="62"/>
      <x:c r="Q18" s="66" t="n">
        <x:f>MAX('逐分量数据'!K44:K46)</x:f>
        <x:v>0.7776767770604707</x:v>
      </x:c>
      <x:c r="R18" s="66" t="n">
        <x:f>MAX('逐分量数据'!J44:J46)</x:f>
        <x:v>5</x:v>
      </x:c>
      <x:c r="S18" s="66" t="n">
        <x:f>MAX(ABS(J18),ABS(M18),Q18)</x:f>
        <x:v>2.0999999999999943</x:v>
      </x:c>
      <x:c r="T18" s="48" t="n">
        <x:v>1</x:v>
      </x:c>
      <x:c r="U18" s="48" t="n">
        <x:v>0</x:v>
      </x:c>
      <x:c r="V18" s="48" t="n">
        <x:v>5</x:v>
      </x:c>
      <x:c r="W18" s="48" t="str">
        <x:v>Q2-07.json</x:v>
      </x:c>
      <x:c r="X18" s="48" t="str">
        <x:v>PASS</x:v>
      </x:c>
      <x:c r="Y18" s="48" t="str">
        <x:f>IF(AND(ABS(J18)&lt;='测试说明'!$B$4,ABS(M18)&lt;='测试说明'!$B$4,Q18&lt;='测试说明'!$B$4,R18&lt;='测试说明'!$B$5,N18=O18,T18=1,U18=0,IF(A18="第三题",P18&lt;='测试说明'!$B$6,TRUE)),"PASS","FAIL")</x:f>
        <x:v>PASS</x:v>
      </x:c>
      <x:c r="Z18" s="67" t="str">
        <x:v>固定等待1.5 s后采集到5帧稳定结果，未单独计量最早收敛时间</x:v>
      </x:c>
    </x:row>
    <x:row r="19" ht="20" customHeight="1">
      <x:c r="A19" s="48" t="str">
        <x:v>第二题</x:v>
      </x:c>
      <x:c r="B19" s="48" t="str">
        <x:v>Q2-08</x:v>
      </x:c>
      <x:c r="C19" s="67" t="str">
        <x:v>1:1.00,2:0.70</x:v>
      </x:c>
      <x:c r="D19" s="61" t="n">
        <x:v>250000</x:v>
      </x:c>
      <x:c r="E19" s="65" t="n">
        <x:v>225</x:v>
      </x:c>
      <x:c r="F19" s="61"/>
      <x:c r="G19" s="62"/>
      <x:c r="H19" s="62" t="n">
        <x:v>225</x:v>
      </x:c>
      <x:c r="I19" s="62" t="n">
        <x:v>227.7</x:v>
      </x:c>
      <x:c r="J19" s="64" t="n">
        <x:f>I19-H19</x:f>
        <x:v>2.6999999999999886</x:v>
      </x:c>
      <x:c r="K19" s="62" t="n">
        <x:v>65.68791778176728</x:v>
      </x:c>
      <x:c r="L19" s="62" t="n">
        <x:v>66.4</x:v>
      </x:c>
      <x:c r="M19" s="64" t="n">
        <x:f>L19-K19</x:f>
        <x:v>0.7120822182327231</x:v>
      </x:c>
      <x:c r="N19" s="48" t="n">
        <x:v>2</x:v>
      </x:c>
      <x:c r="O19" s="48" t="n">
        <x:v>2</x:v>
      </x:c>
      <x:c r="P19" s="62"/>
      <x:c r="Q19" s="66" t="n">
        <x:f>MAX('逐分量数据'!K47:K48)</x:f>
        <x:v>0.827215281025687</x:v>
      </x:c>
      <x:c r="R19" s="66" t="n">
        <x:f>MAX('逐分量数据'!J47:J48)</x:f>
        <x:v>3</x:v>
      </x:c>
      <x:c r="S19" s="66" t="n">
        <x:f>MAX(ABS(J19),ABS(M19),Q19)</x:f>
        <x:v>2.6999999999999886</x:v>
      </x:c>
      <x:c r="T19" s="48" t="n">
        <x:v>1</x:v>
      </x:c>
      <x:c r="U19" s="48" t="n">
        <x:v>0</x:v>
      </x:c>
      <x:c r="V19" s="48" t="n">
        <x:v>5</x:v>
      </x:c>
      <x:c r="W19" s="48" t="str">
        <x:v>Q2-08.json</x:v>
      </x:c>
      <x:c r="X19" s="48" t="str">
        <x:v>PASS</x:v>
      </x:c>
      <x:c r="Y19" s="48" t="str">
        <x:f>IF(AND(ABS(J19)&lt;='测试说明'!$B$4,ABS(M19)&lt;='测试说明'!$B$4,Q19&lt;='测试说明'!$B$4,R19&lt;='测试说明'!$B$5,N19=O19,T19=1,U19=0,IF(A19="第三题",P19&lt;='测试说明'!$B$6,TRUE)),"PASS","FAIL")</x:f>
        <x:v>PASS</x:v>
      </x:c>
      <x:c r="Z19" s="67" t="str">
        <x:v>固定等待1.5 s后采集到5帧稳定结果，未单独计量最早收敛时间</x:v>
      </x:c>
    </x:row>
    <x:row r="20" ht="20" customHeight="1">
      <x:c r="A20" s="48" t="str">
        <x:v>第二题</x:v>
      </x:c>
      <x:c r="B20" s="48" t="str">
        <x:v>Q2-09</x:v>
      </x:c>
      <x:c r="C20" s="67" t="str">
        <x:v>1:0.60,2:1.00,3:0.80</x:v>
      </x:c>
      <x:c r="D20" s="61" t="n">
        <x:v>160000</x:v>
      </x:c>
      <x:c r="E20" s="65" t="n">
        <x:v>200</x:v>
      </x:c>
      <x:c r="F20" s="61"/>
      <x:c r="G20" s="62"/>
      <x:c r="H20" s="62" t="n">
        <x:v>200</x:v>
      </x:c>
      <x:c r="I20" s="62" t="n">
        <x:v>202.8</x:v>
      </x:c>
      <x:c r="J20" s="64" t="n">
        <x:f>I20-H20</x:f>
        <x:v>2.8000000000000114</x:v>
      </x:c>
      <x:c r="K20" s="62" t="n">
        <x:v>48.29678737797039</x:v>
      </x:c>
      <x:c r="L20" s="62" t="n">
        <x:v>49</x:v>
      </x:c>
      <x:c r="M20" s="64" t="n">
        <x:f>L20-K20</x:f>
        <x:v>0.7032126220296107</x:v>
      </x:c>
      <x:c r="N20" s="48" t="n">
        <x:v>3</x:v>
      </x:c>
      <x:c r="O20" s="48" t="n">
        <x:v>3</x:v>
      </x:c>
      <x:c r="P20" s="62"/>
      <x:c r="Q20" s="66" t="n">
        <x:f>MAX('逐分量数据'!K49:K51)</x:f>
        <x:v>0.7032126220296107</x:v>
      </x:c>
      <x:c r="R20" s="66" t="n">
        <x:f>MAX('逐分量数据'!J49:J51)</x:f>
        <x:v>5</x:v>
      </x:c>
      <x:c r="S20" s="66" t="n">
        <x:f>MAX(ABS(J20),ABS(M20),Q20)</x:f>
        <x:v>2.8000000000000114</x:v>
      </x:c>
      <x:c r="T20" s="48" t="n">
        <x:v>1</x:v>
      </x:c>
      <x:c r="U20" s="48" t="n">
        <x:v>0</x:v>
      </x:c>
      <x:c r="V20" s="48" t="n">
        <x:v>5</x:v>
      </x:c>
      <x:c r="W20" s="48" t="str">
        <x:v>Q2-09.json</x:v>
      </x:c>
      <x:c r="X20" s="48" t="str">
        <x:v>PASS</x:v>
      </x:c>
      <x:c r="Y20" s="48" t="str">
        <x:f>IF(AND(ABS(J20)&lt;='测试说明'!$B$4,ABS(M20)&lt;='测试说明'!$B$4,Q20&lt;='测试说明'!$B$4,R20&lt;='测试说明'!$B$5,N20=O20,T20=1,U20=0,IF(A20="第三题",P20&lt;='测试说明'!$B$6,TRUE)),"PASS","FAIL")</x:f>
        <x:v>PASS</x:v>
      </x:c>
      <x:c r="Z20" s="67" t="str">
        <x:v>固定等待1.5 s后采集到5帧稳定结果，未单独计量最早收敛时间</x:v>
      </x:c>
    </x:row>
    <x:row r="21" ht="20" customHeight="1">
      <x:c r="A21" s="48" t="str">
        <x:v>第二题</x:v>
      </x:c>
      <x:c r="B21" s="48" t="str">
        <x:v>Q2-10</x:v>
      </x:c>
      <x:c r="C21" s="67" t="str">
        <x:v>1:1.00,3:0.40,8:0.75</x:v>
      </x:c>
      <x:c r="D21" s="61" t="n">
        <x:v>62500</x:v>
      </x:c>
      <x:c r="E21" s="65" t="n">
        <x:v>90</x:v>
      </x:c>
      <x:c r="F21" s="61"/>
      <x:c r="G21" s="62"/>
      <x:c r="H21" s="62" t="n">
        <x:v>90</x:v>
      </x:c>
      <x:c r="I21" s="62" t="n">
        <x:v>92</x:v>
      </x:c>
      <x:c r="J21" s="64" t="n">
        <x:f>I21-H21</x:f>
        <x:v>2</x:v>
      </x:c>
      <x:c r="K21" s="62" t="n">
        <x:v>24.549327277579852</x:v>
      </x:c>
      <x:c r="L21" s="62" t="n">
        <x:v>25.1</x:v>
      </x:c>
      <x:c r="M21" s="64" t="n">
        <x:f>L21-K21</x:f>
        <x:v>0.5506727224201491</x:v>
      </x:c>
      <x:c r="N21" s="48" t="n">
        <x:v>3</x:v>
      </x:c>
      <x:c r="O21" s="48" t="n">
        <x:v>3</x:v>
      </x:c>
      <x:c r="P21" s="62"/>
      <x:c r="Q21" s="66" t="n">
        <x:f>MAX('逐分量数据'!K52:K54)</x:f>
        <x:v>0.5602478844017753</x:v>
      </x:c>
      <x:c r="R21" s="66" t="n">
        <x:f>MAX('逐分量数据'!J52:J54)</x:f>
        <x:v>2</x:v>
      </x:c>
      <x:c r="S21" s="66" t="n">
        <x:f>MAX(ABS(J21),ABS(M21),Q21)</x:f>
        <x:v>2</x:v>
      </x:c>
      <x:c r="T21" s="48" t="n">
        <x:v>1</x:v>
      </x:c>
      <x:c r="U21" s="48" t="n">
        <x:v>0</x:v>
      </x:c>
      <x:c r="V21" s="48" t="n">
        <x:v>5</x:v>
      </x:c>
      <x:c r="W21" s="48" t="str">
        <x:v>Q2-10.json</x:v>
      </x:c>
      <x:c r="X21" s="48" t="str">
        <x:v>PASS</x:v>
      </x:c>
      <x:c r="Y21" s="48" t="str">
        <x:f>IF(AND(ABS(J21)&lt;='测试说明'!$B$4,ABS(M21)&lt;='测试说明'!$B$4,Q21&lt;='测试说明'!$B$4,R21&lt;='测试说明'!$B$5,N21=O21,T21=1,U21=0,IF(A21="第三题",P21&lt;='测试说明'!$B$6,TRUE)),"PASS","FAIL")</x:f>
        <x:v>PASS</x:v>
      </x:c>
      <x:c r="Z21" s="67" t="str">
        <x:v>固定等待1.5 s后采集到5帧稳定结果，未单独计量最早收敛时间</x:v>
      </x:c>
    </x:row>
    <x:row r="22" ht="20" customHeight="1">
      <x:c r="A22" s="48" t="str">
        <x:v>第三题</x:v>
      </x:c>
      <x:c r="B22" s="48" t="str">
        <x:v>Q3-01</x:v>
      </x:c>
      <x:c r="C22" s="67" t="str">
        <x:v>1:1.00,50:0.70</x:v>
      </x:c>
      <x:c r="D22" s="61" t="n">
        <x:v>10000</x:v>
      </x:c>
      <x:c r="E22" s="65" t="n">
        <x:v>50</x:v>
      </x:c>
      <x:c r="F22" s="61" t="n">
        <x:v>1000000</x:v>
      </x:c>
      <x:c r="G22" s="62" t="n">
        <x:v>200</x:v>
      </x:c>
      <x:c r="H22" s="62" t="n">
        <x:v>50</x:v>
      </x:c>
      <x:c r="I22" s="62" t="n">
        <x:v>50.7</x:v>
      </x:c>
      <x:c r="J22" s="64" t="n">
        <x:f>I22-H22</x:f>
        <x:v>0.7000000000000028</x:v>
      </x:c>
      <x:c r="K22" s="62" t="n">
        <x:v>12.696829850657624</x:v>
      </x:c>
      <x:c r="L22" s="62" t="n">
        <x:v>12.9</x:v>
      </x:c>
      <x:c r="M22" s="64" t="n">
        <x:f>L22-K22</x:f>
        <x:v>0.20317014934237676</x:v>
      </x:c>
      <x:c r="N22" s="48" t="n">
        <x:v>2</x:v>
      </x:c>
      <x:c r="O22" s="48" t="n">
        <x:v>2</x:v>
      </x:c>
      <x:c r="P22" s="62" t="n">
        <x:v>1.3289999999979043</x:v>
      </x:c>
      <x:c r="Q22" s="66" t="n">
        <x:f>MAX('逐分量数据'!K55:K56)</x:f>
        <x:v>0.2898478987806712</x:v>
      </x:c>
      <x:c r="R22" s="66" t="n">
        <x:f>MAX('逐分量数据'!J55:J56)</x:f>
        <x:v>1</x:v>
      </x:c>
      <x:c r="S22" s="66" t="n">
        <x:f>MAX(ABS(J22),ABS(M22),Q22)</x:f>
        <x:v>0.7000000000000028</x:v>
      </x:c>
      <x:c r="T22" s="48" t="n">
        <x:v>1</x:v>
      </x:c>
      <x:c r="U22" s="48" t="n">
        <x:v>0</x:v>
      </x:c>
      <x:c r="V22" s="48" t="n">
        <x:v>5</x:v>
      </x:c>
      <x:c r="W22" s="48" t="str">
        <x:v>Q3-01.json</x:v>
      </x:c>
      <x:c r="X22" s="48" t="str">
        <x:v>PASS</x:v>
      </x:c>
      <x:c r="Y22" s="48" t="str">
        <x:f>IF(AND(ABS(J22)&lt;='测试说明'!$B$4,ABS(M22)&lt;='测试说明'!$B$4,Q22&lt;='测试说明'!$B$4,R22&lt;='测试说明'!$B$5,N22=O22,T22=1,U22=0,IF(A22="第三题",P22&lt;='测试说明'!$B$6,TRUE)),"PASS","FAIL")</x:f>
        <x:v>PASS</x:v>
      </x:c>
      <x:c r="Z22" s="67" t="str">
        <x:v>从波形配置完成后开始计时，含0.65 s稳定等待与5帧采集</x:v>
      </x:c>
    </x:row>
    <x:row r="23" ht="20" customHeight="1">
      <x:c r="A23" s="48" t="str">
        <x:v>第三题</x:v>
      </x:c>
      <x:c r="B23" s="48" t="str">
        <x:v>Q3-02</x:v>
      </x:c>
      <x:c r="C23" s="67" t="str">
        <x:v>1:1.00,7:0.55,40:0.80</x:v>
      </x:c>
      <x:c r="D23" s="61" t="n">
        <x:v>12500</x:v>
      </x:c>
      <x:c r="E23" s="65" t="n">
        <x:v>250</x:v>
      </x:c>
      <x:c r="F23" s="61" t="n">
        <x:v>1250000</x:v>
      </x:c>
      <x:c r="G23" s="62" t="n">
        <x:v>200</x:v>
      </x:c>
      <x:c r="H23" s="62" t="n">
        <x:v>250</x:v>
      </x:c>
      <x:c r="I23" s="62" t="n">
        <x:v>253.3</x:v>
      </x:c>
      <x:c r="J23" s="64" t="n">
        <x:f>I23-H23</x:f>
        <x:v>3.3000000000000114</x:v>
      </x:c>
      <x:c r="K23" s="62" t="n">
        <x:v>54.68376842079509</x:v>
      </x:c>
      <x:c r="L23" s="62" t="n">
        <x:v>55.4</x:v>
      </x:c>
      <x:c r="M23" s="64" t="n">
        <x:f>L23-K23</x:f>
        <x:v>0.7162315792049085</x:v>
      </x:c>
      <x:c r="N23" s="48" t="n">
        <x:v>3</x:v>
      </x:c>
      <x:c r="O23" s="48" t="n">
        <x:v>3</x:v>
      </x:c>
      <x:c r="P23" s="62" t="n">
        <x:v>1.2969999999986612</x:v>
      </x:c>
      <x:c r="Q23" s="66" t="n">
        <x:f>MAX('逐分量数据'!K57:K59)</x:f>
        <x:v>0.8127859991190505</x:v>
      </x:c>
      <x:c r="R23" s="66" t="n">
        <x:f>MAX('逐分量数据'!J57:J59)</x:f>
        <x:v>1</x:v>
      </x:c>
      <x:c r="S23" s="66" t="n">
        <x:f>MAX(ABS(J23),ABS(M23),Q23)</x:f>
        <x:v>3.3000000000000114</x:v>
      </x:c>
      <x:c r="T23" s="48" t="n">
        <x:v>1</x:v>
      </x:c>
      <x:c r="U23" s="48" t="n">
        <x:v>0</x:v>
      </x:c>
      <x:c r="V23" s="48" t="n">
        <x:v>5</x:v>
      </x:c>
      <x:c r="W23" s="48" t="str">
        <x:v>Q3-02.json</x:v>
      </x:c>
      <x:c r="X23" s="48" t="str">
        <x:v>PASS</x:v>
      </x:c>
      <x:c r="Y23" s="48" t="str">
        <x:f>IF(AND(ABS(J23)&lt;='测试说明'!$B$4,ABS(M23)&lt;='测试说明'!$B$4,Q23&lt;='测试说明'!$B$4,R23&lt;='测试说明'!$B$5,N23=O23,T23=1,U23=0,IF(A23="第三题",P23&lt;='测试说明'!$B$6,TRUE)),"PASS","FAIL")</x:f>
        <x:v>PASS</x:v>
      </x:c>
      <x:c r="Z23" s="67" t="str">
        <x:v>从波形配置完成后开始计时，含0.65 s稳定等待与5帧采集</x:v>
      </x:c>
    </x:row>
    <x:row r="24" ht="20" customHeight="1">
      <x:c r="A24" s="48" t="str">
        <x:v>第三题</x:v>
      </x:c>
      <x:c r="B24" s="48" t="str">
        <x:v>Q3-03</x:v>
      </x:c>
      <x:c r="C24" s="67" t="str">
        <x:v>1:1.00,25:0.80</x:v>
      </x:c>
      <x:c r="D24" s="61" t="n">
        <x:v>20000</x:v>
      </x:c>
      <x:c r="E24" s="65" t="n">
        <x:v>100</x:v>
      </x:c>
      <x:c r="F24" s="61" t="n">
        <x:v>1500000</x:v>
      </x:c>
      <x:c r="G24" s="62" t="n">
        <x:v>200</x:v>
      </x:c>
      <x:c r="H24" s="62" t="n">
        <x:v>100</x:v>
      </x:c>
      <x:c r="I24" s="62" t="n">
        <x:v>101.4</x:v>
      </x:c>
      <x:c r="J24" s="64" t="n">
        <x:f>I24-H24</x:f>
        <x:v>1.4000000000000057</x:v>
      </x:c>
      <x:c r="K24" s="62" t="n">
        <x:v>25.15384760593727</x:v>
      </x:c>
      <x:c r="L24" s="62" t="n">
        <x:v>25.5</x:v>
      </x:c>
      <x:c r="M24" s="64" t="n">
        <x:f>L24-K24</x:f>
        <x:v>0.3461523940627309</x:v>
      </x:c>
      <x:c r="N24" s="48" t="n">
        <x:v>2</x:v>
      </x:c>
      <x:c r="O24" s="48" t="n">
        <x:v>2</x:v>
      </x:c>
      <x:c r="P24" s="62" t="n">
        <x:v>1.3289999999979043</x:v>
      </x:c>
      <x:c r="Q24" s="66" t="n">
        <x:f>MAX('逐分量数据'!K60:K61)</x:f>
        <x:v>0.37777777777777644</x:v>
      </x:c>
      <x:c r="R24" s="66" t="n">
        <x:f>MAX('逐分量数据'!J60:J61)</x:f>
        <x:v>0</x:v>
      </x:c>
      <x:c r="S24" s="66" t="n">
        <x:f>MAX(ABS(J24),ABS(M24),Q24)</x:f>
        <x:v>1.4000000000000057</x:v>
      </x:c>
      <x:c r="T24" s="48" t="n">
        <x:v>1</x:v>
      </x:c>
      <x:c r="U24" s="48" t="n">
        <x:v>0</x:v>
      </x:c>
      <x:c r="V24" s="48" t="n">
        <x:v>5</x:v>
      </x:c>
      <x:c r="W24" s="48" t="str">
        <x:v>Q3-03.json</x:v>
      </x:c>
      <x:c r="X24" s="48" t="str">
        <x:v>PASS</x:v>
      </x:c>
      <x:c r="Y24" s="48" t="str">
        <x:f>IF(AND(ABS(J24)&lt;='测试说明'!$B$4,ABS(M24)&lt;='测试说明'!$B$4,Q24&lt;='测试说明'!$B$4,R24&lt;='测试说明'!$B$5,N24=O24,T24=1,U24=0,IF(A24="第三题",P24&lt;='测试说明'!$B$6,TRUE)),"PASS","FAIL")</x:f>
        <x:v>PASS</x:v>
      </x:c>
      <x:c r="Z24" s="67" t="str">
        <x:v>从波形配置完成后开始计时，含0.65 s稳定等待与5帧采集</x:v>
      </x:c>
    </x:row>
    <x:row r="25" ht="20" customHeight="1">
      <x:c r="A25" s="48" t="str">
        <x:v>第三题</x:v>
      </x:c>
      <x:c r="B25" s="48" t="str">
        <x:v>Q3-04</x:v>
      </x:c>
      <x:c r="C25" s="67" t="str">
        <x:v>1:1.00,6:0.65,19:0.45</x:v>
      </x:c>
      <x:c r="D25" s="61" t="n">
        <x:v>25000</x:v>
      </x:c>
      <x:c r="E25" s="65" t="n">
        <x:v>220</x:v>
      </x:c>
      <x:c r="F25" s="61" t="n">
        <x:v>1800000</x:v>
      </x:c>
      <x:c r="G25" s="62" t="n">
        <x:v>200</x:v>
      </x:c>
      <x:c r="H25" s="62" t="n">
        <x:v>220</x:v>
      </x:c>
      <x:c r="I25" s="62" t="n">
        <x:v>222.8</x:v>
      </x:c>
      <x:c r="J25" s="64" t="n">
        <x:f>I25-H25</x:f>
        <x:v>2.8000000000000114</x:v>
      </x:c>
      <x:c r="K25" s="62" t="n">
        <x:v>49.79746692788249</x:v>
      </x:c>
      <x:c r="L25" s="62" t="n">
        <x:v>50.4</x:v>
      </x:c>
      <x:c r="M25" s="64" t="n">
        <x:f>L25-K25</x:f>
        <x:v>0.6025330721175095</x:v>
      </x:c>
      <x:c r="N25" s="48" t="n">
        <x:v>3</x:v>
      </x:c>
      <x:c r="O25" s="48" t="n">
        <x:v>3</x:v>
      </x:c>
      <x:c r="P25" s="62" t="n">
        <x:v>1.312000000005355</x:v>
      </x:c>
      <x:c r="Q25" s="66" t="n">
        <x:f>MAX('逐分量数据'!K62:K64)</x:f>
        <x:v>0.6546706471684516</x:v>
      </x:c>
      <x:c r="R25" s="66" t="n">
        <x:f>MAX('逐分量数据'!J62:J64)</x:f>
        <x:v>5</x:v>
      </x:c>
      <x:c r="S25" s="66" t="n">
        <x:f>MAX(ABS(J25),ABS(M25),Q25)</x:f>
        <x:v>2.8000000000000114</x:v>
      </x:c>
      <x:c r="T25" s="48" t="n">
        <x:v>1</x:v>
      </x:c>
      <x:c r="U25" s="48" t="n">
        <x:v>0</x:v>
      </x:c>
      <x:c r="V25" s="48" t="n">
        <x:v>5</x:v>
      </x:c>
      <x:c r="W25" s="48" t="str">
        <x:v>Q3-04.json</x:v>
      </x:c>
      <x:c r="X25" s="48" t="str">
        <x:v>PASS</x:v>
      </x:c>
      <x:c r="Y25" s="48" t="str">
        <x:f>IF(AND(ABS(J25)&lt;='测试说明'!$B$4,ABS(M25)&lt;='测试说明'!$B$4,Q25&lt;='测试说明'!$B$4,R25&lt;='测试说明'!$B$5,N25=O25,T25=1,U25=0,IF(A25="第三题",P25&lt;='测试说明'!$B$6,TRUE)),"PASS","FAIL")</x:f>
        <x:v>PASS</x:v>
      </x:c>
      <x:c r="Z25" s="67" t="str">
        <x:v>从波形配置完成后开始计时，含0.65 s稳定等待与5帧采集</x:v>
      </x:c>
    </x:row>
    <x:row r="26" ht="20" customHeight="1">
      <x:c r="A26" s="48" t="str">
        <x:v>第三题</x:v>
      </x:c>
      <x:c r="B26" s="48" t="str">
        <x:v>Q3-05</x:v>
      </x:c>
      <x:c r="C26" s="67" t="str">
        <x:v>1:1.00,3:0.65,9:0.85</x:v>
      </x:c>
      <x:c r="D26" s="61" t="n">
        <x:v>40000</x:v>
      </x:c>
      <x:c r="E26" s="65" t="n">
        <x:v>200</x:v>
      </x:c>
      <x:c r="F26" s="61" t="n">
        <x:v>1000000</x:v>
      </x:c>
      <x:c r="G26" s="62" t="n">
        <x:v>200</x:v>
      </x:c>
      <x:c r="H26" s="62" t="n">
        <x:v>200</x:v>
      </x:c>
      <x:c r="I26" s="62" t="n">
        <x:v>202.8</x:v>
      </x:c>
      <x:c r="J26" s="64" t="n">
        <x:f>I26-H26</x:f>
        <x:v>2.8000000000000114</x:v>
      </x:c>
      <x:c r="K26" s="62" t="n">
        <x:v>53.15348037618752</x:v>
      </x:c>
      <x:c r="L26" s="62" t="n">
        <x:v>53.8</x:v>
      </x:c>
      <x:c r="M26" s="64" t="n">
        <x:f>L26-K26</x:f>
        <x:v>0.6465196238124804</x:v>
      </x:c>
      <x:c r="N26" s="48" t="n">
        <x:v>3</x:v>
      </x:c>
      <x:c r="O26" s="48" t="n">
        <x:v>3</x:v>
      </x:c>
      <x:c r="P26" s="62" t="n">
        <x:v>1.3279999999940628</x:v>
      </x:c>
      <x:c r="Q26" s="66" t="n">
        <x:f>MAX('逐分量数据'!K65:K67)</x:f>
        <x:v>0.8733383417452174</x:v>
      </x:c>
      <x:c r="R26" s="66" t="n">
        <x:f>MAX('逐分量数据'!J65:J67)</x:f>
        <x:v>4</x:v>
      </x:c>
      <x:c r="S26" s="66" t="n">
        <x:f>MAX(ABS(J26),ABS(M26),Q26)</x:f>
        <x:v>2.8000000000000114</x:v>
      </x:c>
      <x:c r="T26" s="48" t="n">
        <x:v>1</x:v>
      </x:c>
      <x:c r="U26" s="48" t="n">
        <x:v>0</x:v>
      </x:c>
      <x:c r="V26" s="48" t="n">
        <x:v>5</x:v>
      </x:c>
      <x:c r="W26" s="48" t="str">
        <x:v>Q3-05.json</x:v>
      </x:c>
      <x:c r="X26" s="48" t="str">
        <x:v>PASS</x:v>
      </x:c>
      <x:c r="Y26" s="48" t="str">
        <x:f>IF(AND(ABS(J26)&lt;='测试说明'!$B$4,ABS(M26)&lt;='测试说明'!$B$4,Q26&lt;='测试说明'!$B$4,R26&lt;='测试说明'!$B$5,N26=O26,T26=1,U26=0,IF(A26="第三题",P26&lt;='测试说明'!$B$6,TRUE)),"PASS","FAIL")</x:f>
        <x:v>PASS</x:v>
      </x:c>
      <x:c r="Z26" s="67" t="str">
        <x:v>从波形配置完成后开始计时，含0.65 s稳定等待与5帧采集</x:v>
      </x:c>
    </x:row>
    <x:row r="27" ht="20" customHeight="1">
      <x:c r="A27" s="48" t="str">
        <x:v>第三题</x:v>
      </x:c>
      <x:c r="B27" s="48" t="str">
        <x:v>Q3-06</x:v>
      </x:c>
      <x:c r="C27" s="67" t="str">
        <x:v>1:1.00,4:0.50,10:0.80</x:v>
      </x:c>
      <x:c r="D27" s="61" t="n">
        <x:v>50000</x:v>
      </x:c>
      <x:c r="E27" s="65" t="n">
        <x:v>150</x:v>
      </x:c>
      <x:c r="F27" s="61" t="n">
        <x:v>1250000</x:v>
      </x:c>
      <x:c r="G27" s="62" t="n">
        <x:v>200</x:v>
      </x:c>
      <x:c r="H27" s="62" t="n">
        <x:v>150</x:v>
      </x:c>
      <x:c r="I27" s="62" t="n">
        <x:v>151.6</x:v>
      </x:c>
      <x:c r="J27" s="64" t="n">
        <x:f>I27-H27</x:f>
        <x:v>1.5999999999999943</x:v>
      </x:c>
      <x:c r="K27" s="62" t="n">
        <x:v>33.551560267549824</x:v>
      </x:c>
      <x:c r="L27" s="62" t="n">
        <x:v>33.9</x:v>
      </x:c>
      <x:c r="M27" s="64" t="n">
        <x:f>L27-K27</x:f>
        <x:v>0.34843973245017423</x:v>
      </x:c>
      <x:c r="N27" s="48" t="n">
        <x:v>3</x:v>
      </x:c>
      <x:c r="O27" s="48" t="n">
        <x:v>3</x:v>
      </x:c>
      <x:c r="P27" s="62" t="n">
        <x:v>1.3280000000013388</x:v>
      </x:c>
      <x:c r="Q27" s="66" t="n">
        <x:f>MAX('逐分量数据'!K68:K70)</x:f>
        <x:v>0.48870322273088007</x:v>
      </x:c>
      <x:c r="R27" s="66" t="n">
        <x:f>MAX('逐分量数据'!J68:J70)</x:f>
        <x:v>2</x:v>
      </x:c>
      <x:c r="S27" s="66" t="n">
        <x:f>MAX(ABS(J27),ABS(M27),Q27)</x:f>
        <x:v>1.5999999999999943</x:v>
      </x:c>
      <x:c r="T27" s="48" t="n">
        <x:v>1</x:v>
      </x:c>
      <x:c r="U27" s="48" t="n">
        <x:v>0</x:v>
      </x:c>
      <x:c r="V27" s="48" t="n">
        <x:v>5</x:v>
      </x:c>
      <x:c r="W27" s="48" t="str">
        <x:v>Q3-06.json</x:v>
      </x:c>
      <x:c r="X27" s="48" t="str">
        <x:v>PASS</x:v>
      </x:c>
      <x:c r="Y27" s="48" t="str">
        <x:f>IF(AND(ABS(J27)&lt;='测试说明'!$B$4,ABS(M27)&lt;='测试说明'!$B$4,Q27&lt;='测试说明'!$B$4,R27&lt;='测试说明'!$B$5,N27=O27,T27=1,U27=0,IF(A27="第三题",P27&lt;='测试说明'!$B$6,TRUE)),"PASS","FAIL")</x:f>
        <x:v>PASS</x:v>
      </x:c>
      <x:c r="Z27" s="67" t="str">
        <x:v>从波形配置完成后开始计时，含0.65 s稳定等待与5帧采集</x:v>
      </x:c>
    </x:row>
    <x:row r="28" ht="20" customHeight="1">
      <x:c r="A28" s="48" t="str">
        <x:v>第三题</x:v>
      </x:c>
      <x:c r="B28" s="48" t="str">
        <x:v>Q3-07</x:v>
      </x:c>
      <x:c r="C28" s="67" t="str">
        <x:v>1:1.00,2:0.65,8:0.85</x:v>
      </x:c>
      <x:c r="D28" s="61" t="n">
        <x:v>62500</x:v>
      </x:c>
      <x:c r="E28" s="65" t="n">
        <x:v>50</x:v>
      </x:c>
      <x:c r="F28" s="61" t="n">
        <x:v>1500000</x:v>
      </x:c>
      <x:c r="G28" s="62" t="n">
        <x:v>200</x:v>
      </x:c>
      <x:c r="H28" s="62" t="n">
        <x:v>50</x:v>
      </x:c>
      <x:c r="I28" s="62" t="n">
        <x:v>50.4</x:v>
      </x:c>
      <x:c r="J28" s="64" t="n">
        <x:f>I28-H28</x:f>
        <x:v>0.3999999999999986</x:v>
      </x:c>
      <x:c r="K28" s="62" t="n">
        <x:v>11.346334146053202</x:v>
      </x:c>
      <x:c r="L28" s="62" t="n">
        <x:v>11.4</x:v>
      </x:c>
      <x:c r="M28" s="64" t="n">
        <x:f>L28-K28</x:f>
        <x:v>0.053665853946798237</x:v>
      </x:c>
      <x:c r="N28" s="48" t="n">
        <x:v>3</x:v>
      </x:c>
      <x:c r="O28" s="48" t="n">
        <x:v>3</x:v>
      </x:c>
      <x:c r="P28" s="62" t="n">
        <x:v>1.3280000000013388</x:v>
      </x:c>
      <x:c r="Q28" s="66" t="n">
        <x:f>MAX('逐分量数据'!K71:K73)</x:f>
        <x:v>0.08729503039043252</x:v>
      </x:c>
      <x:c r="R28" s="66" t="n">
        <x:f>MAX('逐分量数据'!J71:J73)</x:f>
        <x:v>1</x:v>
      </x:c>
      <x:c r="S28" s="66" t="n">
        <x:f>MAX(ABS(J28),ABS(M28),Q28)</x:f>
        <x:v>0.3999999999999986</x:v>
      </x:c>
      <x:c r="T28" s="48" t="n">
        <x:v>1</x:v>
      </x:c>
      <x:c r="U28" s="48" t="n">
        <x:v>0</x:v>
      </x:c>
      <x:c r="V28" s="48" t="n">
        <x:v>5</x:v>
      </x:c>
      <x:c r="W28" s="48" t="str">
        <x:v>Q3-07.json</x:v>
      </x:c>
      <x:c r="X28" s="48" t="str">
        <x:v>PASS</x:v>
      </x:c>
      <x:c r="Y28" s="48" t="str">
        <x:f>IF(AND(ABS(J28)&lt;='测试说明'!$B$4,ABS(M28)&lt;='测试说明'!$B$4,Q28&lt;='测试说明'!$B$4,R28&lt;='测试说明'!$B$5,N28=O28,T28=1,U28=0,IF(A28="第三题",P28&lt;='测试说明'!$B$6,TRUE)),"PASS","FAIL")</x:f>
        <x:v>PASS</x:v>
      </x:c>
      <x:c r="Z28" s="67" t="str">
        <x:v>从波形配置完成后开始计时，含0.65 s稳定等待与5帧采集</x:v>
      </x:c>
    </x:row>
    <x:row r="29" ht="20" customHeight="1">
      <x:c r="A29" s="48" t="str">
        <x:v>第三题</x:v>
      </x:c>
      <x:c r="B29" s="48" t="str">
        <x:v>Q3-08</x:v>
      </x:c>
      <x:c r="C29" s="67" t="str">
        <x:v>1:1.00,6:0.70</x:v>
      </x:c>
      <x:c r="D29" s="61" t="n">
        <x:v>80000</x:v>
      </x:c>
      <x:c r="E29" s="65" t="n">
        <x:v>250</x:v>
      </x:c>
      <x:c r="F29" s="61" t="n">
        <x:v>2000000</x:v>
      </x:c>
      <x:c r="G29" s="62" t="n">
        <x:v>200</x:v>
      </x:c>
      <x:c r="H29" s="62" t="n">
        <x:v>250</x:v>
      </x:c>
      <x:c r="I29" s="62" t="n">
        <x:v>252.5</x:v>
      </x:c>
      <x:c r="J29" s="64" t="n">
        <x:f>I29-H29</x:f>
        <x:v>2.5</x:v>
      </x:c>
      <x:c r="K29" s="62" t="n">
        <x:v>64.7142556699789</x:v>
      </x:c>
      <x:c r="L29" s="62" t="n">
        <x:v>65.3</x:v>
      </x:c>
      <x:c r="M29" s="64" t="n">
        <x:f>L29-K29</x:f>
        <x:v>0.5857443300211003</x:v>
      </x:c>
      <x:c r="N29" s="48" t="n">
        <x:v>2</x:v>
      </x:c>
      <x:c r="O29" s="48" t="n">
        <x:v>2</x:v>
      </x:c>
      <x:c r="P29" s="62" t="n">
        <x:v>1.25</x:v>
      </x:c>
      <x:c r="Q29" s="66" t="n">
        <x:f>MAX('逐分量数据'!K74:K75)</x:f>
        <x:v>0.9168535253471006</x:v>
      </x:c>
      <x:c r="R29" s="66" t="n">
        <x:f>MAX('逐分量数据'!J74:J75)</x:f>
        <x:v>5</x:v>
      </x:c>
      <x:c r="S29" s="66" t="n">
        <x:f>MAX(ABS(J29),ABS(M29),Q29)</x:f>
        <x:v>2.5</x:v>
      </x:c>
      <x:c r="T29" s="48" t="n">
        <x:v>1</x:v>
      </x:c>
      <x:c r="U29" s="48" t="n">
        <x:v>0</x:v>
      </x:c>
      <x:c r="V29" s="48" t="n">
        <x:v>5</x:v>
      </x:c>
      <x:c r="W29" s="48" t="str">
        <x:v>Q3-08.json</x:v>
      </x:c>
      <x:c r="X29" s="48" t="str">
        <x:v>PASS</x:v>
      </x:c>
      <x:c r="Y29" s="48" t="str">
        <x:f>IF(AND(ABS(J29)&lt;='测试说明'!$B$4,ABS(M29)&lt;='测试说明'!$B$4,Q29&lt;='测试说明'!$B$4,R29&lt;='测试说明'!$B$5,N29=O29,T29=1,U29=0,IF(A29="第三题",P29&lt;='测试说明'!$B$6,TRUE)),"PASS","FAIL")</x:f>
        <x:v>PASS</x:v>
      </x:c>
      <x:c r="Z29" s="67" t="str">
        <x:v>从波形配置完成后开始计时，含0.65 s稳定等待与5帧采集</x:v>
      </x:c>
    </x:row>
    <x:row r="30" ht="20" customHeight="1">
      <x:c r="A30" s="48" t="str">
        <x:v>第三题</x:v>
      </x:c>
      <x:c r="B30" s="48" t="str">
        <x:v>Q3-09</x:v>
      </x:c>
      <x:c r="C30" s="67" t="str">
        <x:v>1:1.00,3:0.55,5:0.75</x:v>
      </x:c>
      <x:c r="D30" s="61" t="n">
        <x:v>100000</x:v>
      </x:c>
      <x:c r="E30" s="65" t="n">
        <x:v>180</x:v>
      </x:c>
      <x:c r="F30" s="61" t="n">
        <x:v>1000000</x:v>
      </x:c>
      <x:c r="G30" s="62" t="n">
        <x:v>200</x:v>
      </x:c>
      <x:c r="H30" s="62" t="n">
        <x:v>180</x:v>
      </x:c>
      <x:c r="I30" s="62" t="n">
        <x:v>182.3</x:v>
      </x:c>
      <x:c r="J30" s="64" t="n">
        <x:f>I30-H30</x:f>
        <x:v>2.3000000000000114</x:v>
      </x:c>
      <x:c r="K30" s="62" t="n">
        <x:v>54.86724820534994</x:v>
      </x:c>
      <x:c r="L30" s="62" t="n">
        <x:v>55.5</x:v>
      </x:c>
      <x:c r="M30" s="64" t="n">
        <x:f>L30-K30</x:f>
        <x:v>0.632751794650062</x:v>
      </x:c>
      <x:c r="N30" s="48" t="n">
        <x:v>3</x:v>
      </x:c>
      <x:c r="O30" s="48" t="n">
        <x:v>3</x:v>
      </x:c>
      <x:c r="P30" s="62" t="n">
        <x:v>1.3439999999973224</x:v>
      </x:c>
      <x:c r="Q30" s="66" t="n">
        <x:f>MAX('逐分量数据'!K76:K78)</x:f>
        <x:v>0.6862236316650581</x:v>
      </x:c>
      <x:c r="R30" s="66" t="n">
        <x:f>MAX('逐分量数据'!J76:J78)</x:f>
        <x:v>3</x:v>
      </x:c>
      <x:c r="S30" s="66" t="n">
        <x:f>MAX(ABS(J30),ABS(M30),Q30)</x:f>
        <x:v>2.3000000000000114</x:v>
      </x:c>
      <x:c r="T30" s="48" t="n">
        <x:v>1</x:v>
      </x:c>
      <x:c r="U30" s="48" t="n">
        <x:v>0</x:v>
      </x:c>
      <x:c r="V30" s="48" t="n">
        <x:v>5</x:v>
      </x:c>
      <x:c r="W30" s="48" t="str">
        <x:v>Q3-09.json</x:v>
      </x:c>
      <x:c r="X30" s="48" t="str">
        <x:v>PASS</x:v>
      </x:c>
      <x:c r="Y30" s="48" t="str">
        <x:f>IF(AND(ABS(J30)&lt;='测试说明'!$B$4,ABS(M30)&lt;='测试说明'!$B$4,Q30&lt;='测试说明'!$B$4,R30&lt;='测试说明'!$B$5,N30=O30,T30=1,U30=0,IF(A30="第三题",P30&lt;='测试说明'!$B$6,TRUE)),"PASS","FAIL")</x:f>
        <x:v>PASS</x:v>
      </x:c>
      <x:c r="Z30" s="67" t="str">
        <x:v>从波形配置完成后开始计时，含0.65 s稳定等待与5帧采集</x:v>
      </x:c>
    </x:row>
    <x:row r="31" ht="20" customHeight="1">
      <x:c r="A31" s="48" t="str">
        <x:v>第三题</x:v>
      </x:c>
      <x:c r="B31" s="48" t="str">
        <x:v>Q3-10</x:v>
      </x:c>
      <x:c r="C31" s="67" t="str">
        <x:v>1:1.00,4:0.80</x:v>
      </x:c>
      <x:c r="D31" s="61" t="n">
        <x:v>125000</x:v>
      </x:c>
      <x:c r="E31" s="65" t="n">
        <x:v>50</x:v>
      </x:c>
      <x:c r="F31" s="61" t="n">
        <x:v>1250000</x:v>
      </x:c>
      <x:c r="G31" s="62" t="n">
        <x:v>200</x:v>
      </x:c>
      <x:c r="H31" s="62" t="n">
        <x:v>50</x:v>
      </x:c>
      <x:c r="I31" s="62" t="n">
        <x:v>50.4</x:v>
      </x:c>
      <x:c r="J31" s="64" t="n">
        <x:f>I31-H31</x:f>
        <x:v>0.3999999999999986</x:v>
      </x:c>
      <x:c r="K31" s="62" t="n">
        <x:v>13.09173450937753</x:v>
      </x:c>
      <x:c r="L31" s="62" t="n">
        <x:v>13.2</x:v>
      </x:c>
      <x:c r="M31" s="64" t="n">
        <x:f>L31-K31</x:f>
        <x:v>0.10826549062247004</x:v>
      </x:c>
      <x:c r="N31" s="48" t="n">
        <x:v>2</x:v>
      </x:c>
      <x:c r="O31" s="48" t="n">
        <x:v>2</x:v>
      </x:c>
      <x:c r="P31" s="62" t="n">
        <x:v>1.2819999999992433</x:v>
      </x:c>
      <x:c r="Q31" s="66" t="n">
        <x:f>MAX('逐分量数据'!K79:K80)</x:f>
        <x:v>0.1340782333016559</x:v>
      </x:c>
      <x:c r="R31" s="66" t="n">
        <x:f>MAX('逐分量数据'!J79:J80)</x:f>
        <x:v>1</x:v>
      </x:c>
      <x:c r="S31" s="66" t="n">
        <x:f>MAX(ABS(J31),ABS(M31),Q31)</x:f>
        <x:v>0.3999999999999986</x:v>
      </x:c>
      <x:c r="T31" s="48" t="n">
        <x:v>1</x:v>
      </x:c>
      <x:c r="U31" s="48" t="n">
        <x:v>0</x:v>
      </x:c>
      <x:c r="V31" s="48" t="n">
        <x:v>5</x:v>
      </x:c>
      <x:c r="W31" s="48" t="str">
        <x:v>Q3-10.json</x:v>
      </x:c>
      <x:c r="X31" s="48" t="str">
        <x:v>PASS</x:v>
      </x:c>
      <x:c r="Y31" s="48" t="str">
        <x:f>IF(AND(ABS(J31)&lt;='测试说明'!$B$4,ABS(M31)&lt;='测试说明'!$B$4,Q31&lt;='测试说明'!$B$4,R31&lt;='测试说明'!$B$5,N31=O31,T31=1,U31=0,IF(A31="第三题",P31&lt;='测试说明'!$B$6,TRUE)),"PASS","FAIL")</x:f>
        <x:v>PASS</x:v>
      </x:c>
      <x:c r="Z31" s="67" t="str">
        <x:v>从波形配置完成后开始计时，含0.65 s稳定等待与5帧采集</x:v>
      </x:c>
    </x:row>
  </x:sheetData>
  <x:conditionalFormatting sqref="X2:Y31">
    <x:cfRule type="containsText" dxfId="4" priority="1" operator="containsText" text="PASS"/>
    <x:cfRule type="containsText" dxfId="5" priority="2" operator="containsText" text="FAIL"/>
  </x:conditionalFormatting>
  <x:conditionalFormatting sqref="S2:S31">
    <x:cfRule type="cellIs" dxfId="6" priority="3" operator="greaterThan">
      <x:formula>5</x:formula>
    </x:cfRule>
  </x:conditionalFormatting>
  <x:conditionalFormatting sqref="R2:R31">
    <x:cfRule type="cellIs" dxfId="7" priority="4" operator="greaterThan">
      <x:formula>1000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0.25" hidden="0" customWidth="1"/>
    <x:col min="3" max="3" width="10.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1" hidden="0" customWidth="1"/>
  </x:cols>
  <x:sheetData>
    <x:row r="1" ht="42" customHeight="1">
      <x:c r="A1" s="12" t="str">
        <x:v>题目</x:v>
      </x:c>
      <x:c r="B1" s="17" t="str">
        <x:v>用例</x:v>
      </x:c>
      <x:c r="C1" s="17" t="str">
        <x:v>谐波阶次</x:v>
      </x:c>
      <x:c r="D1" s="17" t="str">
        <x:v>实际频率(Hz)</x:v>
      </x:c>
      <x:c r="E1" s="17" t="str">
        <x:v>检测频率(Hz)</x:v>
      </x:c>
      <x:c r="F1" s="17" t="str">
        <x:v>频率误差(Hz)</x:v>
      </x:c>
      <x:c r="G1" s="17" t="str">
        <x:v>实际峰值(mV)</x:v>
      </x:c>
      <x:c r="H1" s="17" t="str">
        <x:v>检测峰值(mV)</x:v>
      </x:c>
      <x:c r="I1" s="17" t="str">
        <x:v>峰值误差(mV)</x:v>
      </x:c>
      <x:c r="J1" s="17" t="str">
        <x:v>频率绝对误差(Hz)</x:v>
      </x:c>
      <x:c r="K1" s="17" t="str">
        <x:v>峰值绝对误差(mV)</x:v>
      </x:c>
      <x:c r="L1" s="13" t="str">
        <x:v>复核判定</x:v>
      </x:c>
    </x:row>
    <x:row r="2" ht="19" customHeight="1">
      <x:c r="A2" s="48" t="str">
        <x:v>第一题</x:v>
      </x:c>
      <x:c r="B2" s="48" t="str">
        <x:v>Q1-01</x:v>
      </x:c>
      <x:c r="C2" s="48" t="n">
        <x:v>1</x:v>
      </x:c>
      <x:c r="D2" s="61" t="n">
        <x:v>10000</x:v>
      </x:c>
      <x:c r="E2" s="61" t="n">
        <x:v>10000</x:v>
      </x:c>
      <x:c r="F2" s="63" t="n">
        <x:f>E2-D2</x:f>
        <x:v>0</x:v>
      </x:c>
      <x:c r="G2" s="62" t="n">
        <x:v>37.23599223319059</x:v>
      </x:c>
      <x:c r="H2" s="62" t="n">
        <x:v>38.2</x:v>
      </x:c>
      <x:c r="I2" s="64" t="n">
        <x:f>H2-G2</x:f>
        <x:v>0.9640077668094094</x:v>
      </x:c>
      <x:c r="J2" s="64" t="n">
        <x:f>ABS(F2)</x:f>
        <x:v>0</x:v>
      </x:c>
      <x:c r="K2" s="64" t="n">
        <x:f>ABS(I2)</x:f>
        <x:v>0.9640077668094094</x:v>
      </x:c>
      <x:c r="L2" s="48" t="str">
        <x:f>IF(AND(J2&lt;='测试说明'!$B$5,K2&lt;='测试说明'!$B$4),"PASS","FAIL")</x:f>
        <x:v>PASS</x:v>
      </x:c>
    </x:row>
    <x:row r="3" ht="19" customHeight="1">
      <x:c r="A3" s="48" t="str">
        <x:v>第一题</x:v>
      </x:c>
      <x:c r="B3" s="48" t="str">
        <x:v>Q1-01</x:v>
      </x:c>
      <x:c r="C3" s="48" t="n">
        <x:v>2</x:v>
      </x:c>
      <x:c r="D3" s="61" t="n">
        <x:v>20000</x:v>
      </x:c>
      <x:c r="E3" s="61" t="n">
        <x:v>20000</x:v>
      </x:c>
      <x:c r="F3" s="63" t="n">
        <x:f>E3-D3</x:f>
        <x:v>0</x:v>
      </x:c>
      <x:c r="G3" s="62" t="n">
        <x:v>20.479795728254828</x:v>
      </x:c>
      <x:c r="H3" s="62" t="n">
        <x:v>21</x:v>
      </x:c>
      <x:c r="I3" s="64" t="n">
        <x:f>H3-G3</x:f>
        <x:v>0.5202042717451718</x:v>
      </x:c>
      <x:c r="J3" s="64" t="n">
        <x:f>ABS(F3)</x:f>
        <x:v>0</x:v>
      </x:c>
      <x:c r="K3" s="64" t="n">
        <x:f>ABS(I3)</x:f>
        <x:v>0.5202042717451718</x:v>
      </x:c>
      <x:c r="L3" s="48" t="str">
        <x:f>IF(AND(J3&lt;='测试说明'!$B$5,K3&lt;='测试说明'!$B$4),"PASS","FAIL")</x:f>
        <x:v>PASS</x:v>
      </x:c>
    </x:row>
    <x:row r="4" ht="19" customHeight="1">
      <x:c r="A4" s="48" t="str">
        <x:v>第一题</x:v>
      </x:c>
      <x:c r="B4" s="48" t="str">
        <x:v>Q1-02</x:v>
      </x:c>
      <x:c r="C4" s="48" t="n">
        <x:v>1</x:v>
      </x:c>
      <x:c r="D4" s="61" t="n">
        <x:v>25000</x:v>
      </x:c>
      <x:c r="E4" s="61" t="n">
        <x:v>25000</x:v>
      </x:c>
      <x:c r="F4" s="63" t="n">
        <x:f>E4-D4</x:f>
        <x:v>0</x:v>
      </x:c>
      <x:c r="G4" s="62" t="n">
        <x:v>26.611283043546692</x:v>
      </x:c>
      <x:c r="H4" s="62" t="n">
        <x:v>27</x:v>
      </x:c>
      <x:c r="I4" s="64" t="n">
        <x:f>H4-G4</x:f>
        <x:v>0.38871695645330817</x:v>
      </x:c>
      <x:c r="J4" s="64" t="n">
        <x:f>ABS(F4)</x:f>
        <x:v>0</x:v>
      </x:c>
      <x:c r="K4" s="64" t="n">
        <x:f>ABS(I4)</x:f>
        <x:v>0.38871695645330817</x:v>
      </x:c>
      <x:c r="L4" s="48" t="str">
        <x:f>IF(AND(J4&lt;='测试说明'!$B$5,K4&lt;='测试说明'!$B$4),"PASS","FAIL")</x:f>
        <x:v>PASS</x:v>
      </x:c>
    </x:row>
    <x:row r="5" ht="19" customHeight="1">
      <x:c r="A5" s="48" t="str">
        <x:v>第一题</x:v>
      </x:c>
      <x:c r="B5" s="48" t="str">
        <x:v>Q1-02</x:v>
      </x:c>
      <x:c r="C5" s="48" t="n">
        <x:v>3</x:v>
      </x:c>
      <x:c r="D5" s="61" t="n">
        <x:v>75000</x:v>
      </x:c>
      <x:c r="E5" s="61" t="n">
        <x:v>75001</x:v>
      </x:c>
      <x:c r="F5" s="63" t="n">
        <x:f>E5-D5</x:f>
        <x:v>1</x:v>
      </x:c>
      <x:c r="G5" s="62" t="n">
        <x:v>48.38415098826671</x:v>
      </x:c>
      <x:c r="H5" s="62" t="n">
        <x:v>48.8</x:v>
      </x:c>
      <x:c r="I5" s="64" t="n">
        <x:f>H5-G5</x:f>
        <x:v>0.41584901173328603</x:v>
      </x:c>
      <x:c r="J5" s="64" t="n">
        <x:f>ABS(F5)</x:f>
        <x:v>1</x:v>
      </x:c>
      <x:c r="K5" s="64" t="n">
        <x:f>ABS(I5)</x:f>
        <x:v>0.41584901173328603</x:v>
      </x:c>
      <x:c r="L5" s="48" t="str">
        <x:f>IF(AND(J5&lt;='测试说明'!$B$5,K5&lt;='测试说明'!$B$4),"PASS","FAIL")</x:f>
        <x:v>PASS</x:v>
      </x:c>
    </x:row>
    <x:row r="6" ht="19" customHeight="1">
      <x:c r="A6" s="48" t="str">
        <x:v>第一题</x:v>
      </x:c>
      <x:c r="B6" s="48" t="str">
        <x:v>Q1-02</x:v>
      </x:c>
      <x:c r="C6" s="48" t="n">
        <x:v>7</x:v>
      </x:c>
      <x:c r="D6" s="61" t="n">
        <x:v>175000</x:v>
      </x:c>
      <x:c r="E6" s="61" t="n">
        <x:v>175002</x:v>
      </x:c>
      <x:c r="F6" s="63" t="n">
        <x:f>E6-D6</x:f>
        <x:v>2</x:v>
      </x:c>
      <x:c r="G6" s="62" t="n">
        <x:v>33.86890569178669</x:v>
      </x:c>
      <x:c r="H6" s="62" t="n">
        <x:v>34.3</x:v>
      </x:c>
      <x:c r="I6" s="64" t="n">
        <x:f>H6-G6</x:f>
        <x:v>0.43109430821330363</x:v>
      </x:c>
      <x:c r="J6" s="64" t="n">
        <x:f>ABS(F6)</x:f>
        <x:v>2</x:v>
      </x:c>
      <x:c r="K6" s="64" t="n">
        <x:f>ABS(I6)</x:f>
        <x:v>0.43109430821330363</x:v>
      </x:c>
      <x:c r="L6" s="48" t="str">
        <x:f>IF(AND(J6&lt;='测试说明'!$B$5,K6&lt;='测试说明'!$B$4),"PASS","FAIL")</x:f>
        <x:v>PASS</x:v>
      </x:c>
    </x:row>
    <x:row r="7" ht="19" customHeight="1">
      <x:c r="A7" s="48" t="str">
        <x:v>第一题</x:v>
      </x:c>
      <x:c r="B7" s="48" t="str">
        <x:v>Q1-03</x:v>
      </x:c>
      <x:c r="C7" s="48" t="n">
        <x:v>1</x:v>
      </x:c>
      <x:c r="D7" s="61" t="n">
        <x:v>40000</x:v>
      </x:c>
      <x:c r="E7" s="61" t="n">
        <x:v>40000</x:v>
      </x:c>
      <x:c r="F7" s="63" t="n">
        <x:f>E7-D7</x:f>
        <x:v>0</x:v>
      </x:c>
      <x:c r="G7" s="62" t="n">
        <x:v>71.48012434478241</x:v>
      </x:c>
      <x:c r="H7" s="62" t="n">
        <x:v>72.3</x:v>
      </x:c>
      <x:c r="I7" s="64" t="n">
        <x:f>H7-G7</x:f>
        <x:v>0.8198756552175865</x:v>
      </x:c>
      <x:c r="J7" s="64" t="n">
        <x:f>ABS(F7)</x:f>
        <x:v>0</x:v>
      </x:c>
      <x:c r="K7" s="64" t="n">
        <x:f>ABS(I7)</x:f>
        <x:v>0.8198756552175865</x:v>
      </x:c>
      <x:c r="L7" s="48" t="str">
        <x:f>IF(AND(J7&lt;='测试说明'!$B$5,K7&lt;='测试说明'!$B$4),"PASS","FAIL")</x:f>
        <x:v>PASS</x:v>
      </x:c>
    </x:row>
    <x:row r="8" ht="19" customHeight="1">
      <x:c r="A8" s="48" t="str">
        <x:v>第一题</x:v>
      </x:c>
      <x:c r="B8" s="48" t="str">
        <x:v>Q1-03</x:v>
      </x:c>
      <x:c r="C8" s="48" t="n">
        <x:v>3</x:v>
      </x:c>
      <x:c r="D8" s="61" t="n">
        <x:v>120000</x:v>
      </x:c>
      <x:c r="E8" s="61" t="n">
        <x:v>120001</x:v>
      </x:c>
      <x:c r="F8" s="63" t="n">
        <x:f>E8-D8</x:f>
        <x:v>1</x:v>
      </x:c>
      <x:c r="G8" s="62" t="n">
        <x:v>28.59204973791297</x:v>
      </x:c>
      <x:c r="H8" s="62" t="n">
        <x:v>28.9</x:v>
      </x:c>
      <x:c r="I8" s="64" t="n">
        <x:f>H8-G8</x:f>
        <x:v>0.30795026208702936</x:v>
      </x:c>
      <x:c r="J8" s="64" t="n">
        <x:f>ABS(F8)</x:f>
        <x:v>1</x:v>
      </x:c>
      <x:c r="K8" s="64" t="n">
        <x:f>ABS(I8)</x:f>
        <x:v>0.30795026208702936</x:v>
      </x:c>
      <x:c r="L8" s="48" t="str">
        <x:f>IF(AND(J8&lt;='测试说明'!$B$5,K8&lt;='测试说明'!$B$4),"PASS","FAIL")</x:f>
        <x:v>PASS</x:v>
      </x:c>
    </x:row>
    <x:row r="9" ht="19" customHeight="1">
      <x:c r="A9" s="48" t="str">
        <x:v>第一题</x:v>
      </x:c>
      <x:c r="B9" s="48" t="str">
        <x:v>Q1-03</x:v>
      </x:c>
      <x:c r="C9" s="48" t="n">
        <x:v>5</x:v>
      </x:c>
      <x:c r="D9" s="61" t="n">
        <x:v>200000</x:v>
      </x:c>
      <x:c r="E9" s="61" t="n">
        <x:v>200002</x:v>
      </x:c>
      <x:c r="F9" s="63" t="n">
        <x:f>E9-D9</x:f>
        <x:v>2</x:v>
      </x:c>
      <x:c r="G9" s="62" t="n">
        <x:v>50.036087041347685</x:v>
      </x:c>
      <x:c r="H9" s="62" t="n">
        <x:v>50.6</x:v>
      </x:c>
      <x:c r="I9" s="64" t="n">
        <x:f>H9-G9</x:f>
        <x:v>0.5639129586523168</x:v>
      </x:c>
      <x:c r="J9" s="64" t="n">
        <x:f>ABS(F9)</x:f>
        <x:v>2</x:v>
      </x:c>
      <x:c r="K9" s="64" t="n">
        <x:f>ABS(I9)</x:f>
        <x:v>0.5639129586523168</x:v>
      </x:c>
      <x:c r="L9" s="48" t="str">
        <x:f>IF(AND(J9&lt;='测试说明'!$B$5,K9&lt;='测试说明'!$B$4),"PASS","FAIL")</x:f>
        <x:v>PASS</x:v>
      </x:c>
    </x:row>
    <x:row r="10" ht="19" customHeight="1">
      <x:c r="A10" s="48" t="str">
        <x:v>第一题</x:v>
      </x:c>
      <x:c r="B10" s="48" t="str">
        <x:v>Q1-04</x:v>
      </x:c>
      <x:c r="C10" s="48" t="n">
        <x:v>1</x:v>
      </x:c>
      <x:c r="D10" s="61" t="n">
        <x:v>50000</x:v>
      </x:c>
      <x:c r="E10" s="61" t="n">
        <x:v>50001</x:v>
      </x:c>
      <x:c r="F10" s="63" t="n">
        <x:f>E10-D10</x:f>
        <x:v>1</x:v>
      </x:c>
      <x:c r="G10" s="62" t="n">
        <x:v>47.607106150671505</x:v>
      </x:c>
      <x:c r="H10" s="62" t="n">
        <x:v>48</x:v>
      </x:c>
      <x:c r="I10" s="64" t="n">
        <x:f>H10-G10</x:f>
        <x:v>0.3928938493284946</x:v>
      </x:c>
      <x:c r="J10" s="64" t="n">
        <x:f>ABS(F10)</x:f>
        <x:v>1</x:v>
      </x:c>
      <x:c r="K10" s="64" t="n">
        <x:f>ABS(I10)</x:f>
        <x:v>0.3928938493284946</x:v>
      </x:c>
      <x:c r="L10" s="48" t="str">
        <x:f>IF(AND(J10&lt;='测试说明'!$B$5,K10&lt;='测试说明'!$B$4),"PASS","FAIL")</x:f>
        <x:v>PASS</x:v>
      </x:c>
    </x:row>
    <x:row r="11" ht="19" customHeight="1">
      <x:c r="A11" s="48" t="str">
        <x:v>第一题</x:v>
      </x:c>
      <x:c r="B11" s="48" t="str">
        <x:v>Q1-04</x:v>
      </x:c>
      <x:c r="C11" s="48" t="n">
        <x:v>2</x:v>
      </x:c>
      <x:c r="D11" s="61" t="n">
        <x:v>100000</x:v>
      </x:c>
      <x:c r="E11" s="61" t="n">
        <x:v>100001</x:v>
      </x:c>
      <x:c r="F11" s="63" t="n">
        <x:f>E11-D11</x:f>
        <x:v>1</x:v>
      </x:c>
      <x:c r="G11" s="62" t="n">
        <x:v>79.34517691778585</x:v>
      </x:c>
      <x:c r="H11" s="62" t="n">
        <x:v>80.1</x:v>
      </x:c>
      <x:c r="I11" s="64" t="n">
        <x:f>H11-G11</x:f>
        <x:v>0.7548230822141448</x:v>
      </x:c>
      <x:c r="J11" s="64" t="n">
        <x:f>ABS(F11)</x:f>
        <x:v>1</x:v>
      </x:c>
      <x:c r="K11" s="64" t="n">
        <x:f>ABS(I11)</x:f>
        <x:v>0.7548230822141448</x:v>
      </x:c>
      <x:c r="L11" s="48" t="str">
        <x:f>IF(AND(J11&lt;='测试说明'!$B$5,K11&lt;='测试说明'!$B$4),"PASS","FAIL")</x:f>
        <x:v>PASS</x:v>
      </x:c>
    </x:row>
    <x:row r="12" ht="19" customHeight="1">
      <x:c r="A12" s="48" t="str">
        <x:v>第一题</x:v>
      </x:c>
      <x:c r="B12" s="48" t="str">
        <x:v>Q1-04</x:v>
      </x:c>
      <x:c r="C12" s="48" t="n">
        <x:v>4</x:v>
      </x:c>
      <x:c r="D12" s="61" t="n">
        <x:v>200000</x:v>
      </x:c>
      <x:c r="E12" s="61" t="n">
        <x:v>200002</x:v>
      </x:c>
      <x:c r="F12" s="63" t="n">
        <x:f>E12-D12</x:f>
        <x:v>2</x:v>
      </x:c>
      <x:c r="G12" s="62" t="n">
        <x:v>35.705329613003634</x:v>
      </x:c>
      <x:c r="H12" s="62" t="n">
        <x:v>36.1</x:v>
      </x:c>
      <x:c r="I12" s="64" t="n">
        <x:f>H12-G12</x:f>
        <x:v>0.39467038699636703</x:v>
      </x:c>
      <x:c r="J12" s="64" t="n">
        <x:f>ABS(F12)</x:f>
        <x:v>2</x:v>
      </x:c>
      <x:c r="K12" s="64" t="n">
        <x:f>ABS(I12)</x:f>
        <x:v>0.39467038699636703</x:v>
      </x:c>
      <x:c r="L12" s="48" t="str">
        <x:f>IF(AND(J12&lt;='测试说明'!$B$5,K12&lt;='测试说明'!$B$4),"PASS","FAIL")</x:f>
        <x:v>PASS</x:v>
      </x:c>
    </x:row>
    <x:row r="13" ht="19" customHeight="1">
      <x:c r="A13" s="48" t="str">
        <x:v>第一题</x:v>
      </x:c>
      <x:c r="B13" s="48" t="str">
        <x:v>Q1-05</x:v>
      </x:c>
      <x:c r="C13" s="48" t="n">
        <x:v>1</x:v>
      </x:c>
      <x:c r="D13" s="61" t="n">
        <x:v>100000</x:v>
      </x:c>
      <x:c r="E13" s="61" t="n">
        <x:v>100001</x:v>
      </x:c>
      <x:c r="F13" s="63" t="n">
        <x:f>E13-D13</x:f>
        <x:v>1</x:v>
      </x:c>
      <x:c r="G13" s="62" t="n">
        <x:v>41.88442310632905</x:v>
      </x:c>
      <x:c r="H13" s="62" t="n">
        <x:v>42.7</x:v>
      </x:c>
      <x:c r="I13" s="64" t="n">
        <x:f>H13-G13</x:f>
        <x:v>0.8155768936709507</x:v>
      </x:c>
      <x:c r="J13" s="64" t="n">
        <x:f>ABS(F13)</x:f>
        <x:v>1</x:v>
      </x:c>
      <x:c r="K13" s="64" t="n">
        <x:f>ABS(I13)</x:f>
        <x:v>0.8155768936709507</x:v>
      </x:c>
      <x:c r="L13" s="48" t="str">
        <x:f>IF(AND(J13&lt;='测试说明'!$B$5,K13&lt;='测试说明'!$B$4),"PASS","FAIL")</x:f>
        <x:v>PASS</x:v>
      </x:c>
    </x:row>
    <x:row r="14" ht="19" customHeight="1">
      <x:c r="A14" s="48" t="str">
        <x:v>第一题</x:v>
      </x:c>
      <x:c r="B14" s="48" t="str">
        <x:v>Q1-05</x:v>
      </x:c>
      <x:c r="C14" s="48" t="n">
        <x:v>2</x:v>
      </x:c>
      <x:c r="D14" s="61" t="n">
        <x:v>200000</x:v>
      </x:c>
      <x:c r="E14" s="61" t="n">
        <x:v>200002</x:v>
      </x:c>
      <x:c r="F14" s="63" t="n">
        <x:f>E14-D14</x:f>
        <x:v>2</x:v>
      </x:c>
      <x:c r="G14" s="62" t="n">
        <x:v>27.224875019113885</x:v>
      </x:c>
      <x:c r="H14" s="62" t="n">
        <x:v>27.8</x:v>
      </x:c>
      <x:c r="I14" s="64" t="n">
        <x:f>H14-G14</x:f>
        <x:v>0.5751249808861161</x:v>
      </x:c>
      <x:c r="J14" s="64" t="n">
        <x:f>ABS(F14)</x:f>
        <x:v>2</x:v>
      </x:c>
      <x:c r="K14" s="64" t="n">
        <x:f>ABS(I14)</x:f>
        <x:v>0.5751249808861161</x:v>
      </x:c>
      <x:c r="L14" s="48" t="str">
        <x:f>IF(AND(J14&lt;='测试说明'!$B$5,K14&lt;='测试说明'!$B$4),"PASS","FAIL")</x:f>
        <x:v>PASS</x:v>
      </x:c>
    </x:row>
    <x:row r="15" ht="19" customHeight="1">
      <x:c r="A15" s="48" t="str">
        <x:v>第一题</x:v>
      </x:c>
      <x:c r="B15" s="48" t="str">
        <x:v>Q1-06</x:v>
      </x:c>
      <x:c r="C15" s="48" t="n">
        <x:v>1</x:v>
      </x:c>
      <x:c r="D15" s="61" t="n">
        <x:v>20000</x:v>
      </x:c>
      <x:c r="E15" s="61" t="n">
        <x:v>20000</x:v>
      </x:c>
      <x:c r="F15" s="63" t="n">
        <x:f>E15-D15</x:f>
        <x:v>0</x:v>
      </x:c>
      <x:c r="G15" s="62" t="n">
        <x:v>62.84579020472019</x:v>
      </x:c>
      <x:c r="H15" s="62" t="n">
        <x:v>63.8</x:v>
      </x:c>
      <x:c r="I15" s="64" t="n">
        <x:f>H15-G15</x:f>
        <x:v>0.9542097952798088</x:v>
      </x:c>
      <x:c r="J15" s="64" t="n">
        <x:f>ABS(F15)</x:f>
        <x:v>0</x:v>
      </x:c>
      <x:c r="K15" s="64" t="n">
        <x:f>ABS(I15)</x:f>
        <x:v>0.9542097952798088</x:v>
      </x:c>
      <x:c r="L15" s="48" t="str">
        <x:f>IF(AND(J15&lt;='测试说明'!$B$5,K15&lt;='测试说明'!$B$4),"PASS","FAIL")</x:f>
        <x:v>PASS</x:v>
      </x:c>
    </x:row>
    <x:row r="16" ht="19" customHeight="1">
      <x:c r="A16" s="48" t="str">
        <x:v>第一题</x:v>
      </x:c>
      <x:c r="B16" s="48" t="str">
        <x:v>Q1-06</x:v>
      </x:c>
      <x:c r="C16" s="48" t="n">
        <x:v>4</x:v>
      </x:c>
      <x:c r="D16" s="61" t="n">
        <x:v>80000</x:v>
      </x:c>
      <x:c r="E16" s="61" t="n">
        <x:v>80001</x:v>
      </x:c>
      <x:c r="F16" s="63" t="n">
        <x:f>E16-D16</x:f>
        <x:v>1</x:v>
      </x:c>
      <x:c r="G16" s="62" t="n">
        <x:v>31.422895102360098</x:v>
      </x:c>
      <x:c r="H16" s="62" t="n">
        <x:v>31.7</x:v>
      </x:c>
      <x:c r="I16" s="64" t="n">
        <x:f>H16-G16</x:f>
        <x:v>0.27710489763990154</x:v>
      </x:c>
      <x:c r="J16" s="64" t="n">
        <x:f>ABS(F16)</x:f>
        <x:v>1</x:v>
      </x:c>
      <x:c r="K16" s="64" t="n">
        <x:f>ABS(I16)</x:f>
        <x:v>0.27710489763990154</x:v>
      </x:c>
      <x:c r="L16" s="48" t="str">
        <x:f>IF(AND(J16&lt;='测试说明'!$B$5,K16&lt;='测试说明'!$B$4),"PASS","FAIL")</x:f>
        <x:v>PASS</x:v>
      </x:c>
    </x:row>
    <x:row r="17" ht="19" customHeight="1">
      <x:c r="A17" s="48" t="str">
        <x:v>第一题</x:v>
      </x:c>
      <x:c r="B17" s="48" t="str">
        <x:v>Q1-07</x:v>
      </x:c>
      <x:c r="C17" s="48" t="n">
        <x:v>1</x:v>
      </x:c>
      <x:c r="D17" s="61" t="n">
        <x:v>60000</x:v>
      </x:c>
      <x:c r="E17" s="61" t="n">
        <x:v>60001</x:v>
      </x:c>
      <x:c r="F17" s="63" t="n">
        <x:f>E17-D17</x:f>
        <x:v>1</x:v>
      </x:c>
      <x:c r="G17" s="62" t="n">
        <x:v>44.34356509925504</x:v>
      </x:c>
      <x:c r="H17" s="62" t="n">
        <x:v>44.7</x:v>
      </x:c>
      <x:c r="I17" s="64" t="n">
        <x:f>H17-G17</x:f>
        <x:v>0.356434900744965</x:v>
      </x:c>
      <x:c r="J17" s="64" t="n">
        <x:f>ABS(F17)</x:f>
        <x:v>1</x:v>
      </x:c>
      <x:c r="K17" s="64" t="n">
        <x:f>ABS(I17)</x:f>
        <x:v>0.356434900744965</x:v>
      </x:c>
      <x:c r="L17" s="48" t="str">
        <x:f>IF(AND(J17&lt;='测试说明'!$B$5,K17&lt;='测试说明'!$B$4),"PASS","FAIL")</x:f>
        <x:v>PASS</x:v>
      </x:c>
    </x:row>
    <x:row r="18" ht="19" customHeight="1">
      <x:c r="A18" s="48" t="str">
        <x:v>第一题</x:v>
      </x:c>
      <x:c r="B18" s="48" t="str">
        <x:v>Q1-07</x:v>
      </x:c>
      <x:c r="C18" s="48" t="n">
        <x:v>2</x:v>
      </x:c>
      <x:c r="D18" s="61" t="n">
        <x:v>120000</x:v>
      </x:c>
      <x:c r="E18" s="61" t="n">
        <x:v>120001</x:v>
      </x:c>
      <x:c r="F18" s="63" t="n">
        <x:f>E18-D18</x:f>
        <x:v>1</x:v>
      </x:c>
      <x:c r="G18" s="62" t="n">
        <x:v>59.124753465673386</x:v>
      </x:c>
      <x:c r="H18" s="62" t="n">
        <x:v>59.7</x:v>
      </x:c>
      <x:c r="I18" s="64" t="n">
        <x:f>H18-G18</x:f>
        <x:v>0.5752465343266167</x:v>
      </x:c>
      <x:c r="J18" s="64" t="n">
        <x:f>ABS(F18)</x:f>
        <x:v>1</x:v>
      </x:c>
      <x:c r="K18" s="64" t="n">
        <x:f>ABS(I18)</x:f>
        <x:v>0.5752465343266167</x:v>
      </x:c>
      <x:c r="L18" s="48" t="str">
        <x:f>IF(AND(J18&lt;='测试说明'!$B$5,K18&lt;='测试说明'!$B$4),"PASS","FAIL")</x:f>
        <x:v>PASS</x:v>
      </x:c>
    </x:row>
    <x:row r="19" ht="19" customHeight="1">
      <x:c r="A19" s="48" t="str">
        <x:v>第一题</x:v>
      </x:c>
      <x:c r="B19" s="48" t="str">
        <x:v>Q1-07</x:v>
      </x:c>
      <x:c r="C19" s="48" t="n">
        <x:v>3</x:v>
      </x:c>
      <x:c r="D19" s="61" t="n">
        <x:v>180000</x:v>
      </x:c>
      <x:c r="E19" s="61" t="n">
        <x:v>180002</x:v>
      </x:c>
      <x:c r="F19" s="63" t="n">
        <x:f>E19-D19</x:f>
        <x:v>2</x:v>
      </x:c>
      <x:c r="G19" s="62" t="n">
        <x:v>26.606139059553023</x:v>
      </x:c>
      <x:c r="H19" s="62" t="n">
        <x:v>26.9</x:v>
      </x:c>
      <x:c r="I19" s="64" t="n">
        <x:f>H19-G19</x:f>
        <x:v>0.29386094044697586</x:v>
      </x:c>
      <x:c r="J19" s="64" t="n">
        <x:f>ABS(F19)</x:f>
        <x:v>2</x:v>
      </x:c>
      <x:c r="K19" s="64" t="n">
        <x:f>ABS(I19)</x:f>
        <x:v>0.29386094044697586</x:v>
      </x:c>
      <x:c r="L19" s="48" t="str">
        <x:f>IF(AND(J19&lt;='测试说明'!$B$5,K19&lt;='测试说明'!$B$4),"PASS","FAIL")</x:f>
        <x:v>PASS</x:v>
      </x:c>
    </x:row>
    <x:row r="20" ht="19" customHeight="1">
      <x:c r="A20" s="48" t="str">
        <x:v>第一题</x:v>
      </x:c>
      <x:c r="B20" s="48" t="str">
        <x:v>Q1-08</x:v>
      </x:c>
      <x:c r="C20" s="48" t="n">
        <x:v>1</x:v>
      </x:c>
      <x:c r="D20" s="61" t="n">
        <x:v>65000</x:v>
      </x:c>
      <x:c r="E20" s="61" t="n">
        <x:v>65001</x:v>
      </x:c>
      <x:c r="F20" s="63" t="n">
        <x:f>E20-D20</x:f>
        <x:v>1</x:v>
      </x:c>
      <x:c r="G20" s="62" t="n">
        <x:v>48.18715188882928</x:v>
      </x:c>
      <x:c r="H20" s="62" t="n">
        <x:v>48.6</x:v>
      </x:c>
      <x:c r="I20" s="64" t="n">
        <x:f>H20-G20</x:f>
        <x:v>0.4128481111707245</x:v>
      </x:c>
      <x:c r="J20" s="64" t="n">
        <x:f>ABS(F20)</x:f>
        <x:v>1</x:v>
      </x:c>
      <x:c r="K20" s="64" t="n">
        <x:f>ABS(I20)</x:f>
        <x:v>0.4128481111707245</x:v>
      </x:c>
      <x:c r="L20" s="48" t="str">
        <x:f>IF(AND(J20&lt;='测试说明'!$B$5,K20&lt;='测试说明'!$B$4),"PASS","FAIL")</x:f>
        <x:v>PASS</x:v>
      </x:c>
    </x:row>
    <x:row r="21" ht="19" customHeight="1">
      <x:c r="A21" s="48" t="str">
        <x:v>第一题</x:v>
      </x:c>
      <x:c r="B21" s="48" t="str">
        <x:v>Q1-08</x:v>
      </x:c>
      <x:c r="C21" s="48" t="n">
        <x:v>3</x:v>
      </x:c>
      <x:c r="D21" s="61" t="n">
        <x:v>195000</x:v>
      </x:c>
      <x:c r="E21" s="61" t="n">
        <x:v>195002</x:v>
      </x:c>
      <x:c r="F21" s="63" t="n">
        <x:f>E21-D21</x:f>
        <x:v>2</x:v>
      </x:c>
      <x:c r="G21" s="62" t="n">
        <x:v>38.54972151106343</x:v>
      </x:c>
      <x:c r="H21" s="62" t="n">
        <x:v>39</x:v>
      </x:c>
      <x:c r="I21" s="64" t="n">
        <x:f>H21-G21</x:f>
        <x:v>0.4502784889365685</x:v>
      </x:c>
      <x:c r="J21" s="64" t="n">
        <x:f>ABS(F21)</x:f>
        <x:v>2</x:v>
      </x:c>
      <x:c r="K21" s="64" t="n">
        <x:f>ABS(I21)</x:f>
        <x:v>0.4502784889365685</x:v>
      </x:c>
      <x:c r="L21" s="48" t="str">
        <x:f>IF(AND(J21&lt;='测试说明'!$B$5,K21&lt;='测试说明'!$B$4),"PASS","FAIL")</x:f>
        <x:v>PASS</x:v>
      </x:c>
    </x:row>
    <x:row r="22" ht="19" customHeight="1">
      <x:c r="A22" s="48" t="str">
        <x:v>第一题</x:v>
      </x:c>
      <x:c r="B22" s="48" t="str">
        <x:v>Q1-09</x:v>
      </x:c>
      <x:c r="C22" s="48" t="n">
        <x:v>1</x:v>
      </x:c>
      <x:c r="D22" s="61" t="n">
        <x:v>45000</x:v>
      </x:c>
      <x:c r="E22" s="61" t="n">
        <x:v>45000</x:v>
      </x:c>
      <x:c r="F22" s="63" t="n">
        <x:f>E22-D22</x:f>
        <x:v>0</x:v>
      </x:c>
      <x:c r="G22" s="62" t="n">
        <x:v>40.72551812981468</x:v>
      </x:c>
      <x:c r="H22" s="62" t="n">
        <x:v>41.1</x:v>
      </x:c>
      <x:c r="I22" s="64" t="n">
        <x:f>H22-G22</x:f>
        <x:v>0.37448187018532053</x:v>
      </x:c>
      <x:c r="J22" s="64" t="n">
        <x:f>ABS(F22)</x:f>
        <x:v>0</x:v>
      </x:c>
      <x:c r="K22" s="64" t="n">
        <x:f>ABS(I22)</x:f>
        <x:v>0.37448187018532053</x:v>
      </x:c>
      <x:c r="L22" s="48" t="str">
        <x:f>IF(AND(J22&lt;='测试说明'!$B$5,K22&lt;='测试说明'!$B$4),"PASS","FAIL")</x:f>
        <x:v>PASS</x:v>
      </x:c>
    </x:row>
    <x:row r="23" ht="19" customHeight="1">
      <x:c r="A23" s="48" t="str">
        <x:v>第一题</x:v>
      </x:c>
      <x:c r="B23" s="48" t="str">
        <x:v>Q1-09</x:v>
      </x:c>
      <x:c r="C23" s="48" t="n">
        <x:v>2</x:v>
      </x:c>
      <x:c r="D23" s="61" t="n">
        <x:v>90000</x:v>
      </x:c>
      <x:c r="E23" s="61" t="n">
        <x:v>90001</x:v>
      </x:c>
      <x:c r="F23" s="63" t="n">
        <x:f>E23-D23</x:f>
        <x:v>1</x:v>
      </x:c>
      <x:c r="G23" s="62" t="n">
        <x:v>25.453448831134175</x:v>
      </x:c>
      <x:c r="H23" s="62" t="n">
        <x:v>25.7</x:v>
      </x:c>
      <x:c r="I23" s="64" t="n">
        <x:f>H23-G23</x:f>
        <x:v>0.24655116886582462</x:v>
      </x:c>
      <x:c r="J23" s="64" t="n">
        <x:f>ABS(F23)</x:f>
        <x:v>1</x:v>
      </x:c>
      <x:c r="K23" s="64" t="n">
        <x:f>ABS(I23)</x:f>
        <x:v>0.24655116886582462</x:v>
      </x:c>
      <x:c r="L23" s="48" t="str">
        <x:f>IF(AND(J23&lt;='测试说明'!$B$5,K23&lt;='测试说明'!$B$4),"PASS","FAIL")</x:f>
        <x:v>PASS</x:v>
      </x:c>
    </x:row>
    <x:row r="24" ht="19" customHeight="1">
      <x:c r="A24" s="48" t="str">
        <x:v>第一题</x:v>
      </x:c>
      <x:c r="B24" s="48" t="str">
        <x:v>Q1-09</x:v>
      </x:c>
      <x:c r="C24" s="48" t="n">
        <x:v>4</x:v>
      </x:c>
      <x:c r="D24" s="61" t="n">
        <x:v>180000</x:v>
      </x:c>
      <x:c r="E24" s="61" t="n">
        <x:v>180002</x:v>
      </x:c>
      <x:c r="F24" s="63" t="n">
        <x:f>E24-D24</x:f>
        <x:v>2</x:v>
      </x:c>
      <x:c r="G24" s="62" t="n">
        <x:v>50.90689766226835</x:v>
      </x:c>
      <x:c r="H24" s="62" t="n">
        <x:v>51.5</x:v>
      </x:c>
      <x:c r="I24" s="64" t="n">
        <x:f>H24-G24</x:f>
        <x:v>0.5931023377316507</x:v>
      </x:c>
      <x:c r="J24" s="64" t="n">
        <x:f>ABS(F24)</x:f>
        <x:v>2</x:v>
      </x:c>
      <x:c r="K24" s="64" t="n">
        <x:f>ABS(I24)</x:f>
        <x:v>0.5931023377316507</x:v>
      </x:c>
      <x:c r="L24" s="48" t="str">
        <x:f>IF(AND(J24&lt;='测试说明'!$B$5,K24&lt;='测试说明'!$B$4),"PASS","FAIL")</x:f>
        <x:v>PASS</x:v>
      </x:c>
    </x:row>
    <x:row r="25" ht="19" customHeight="1">
      <x:c r="A25" s="48" t="str">
        <x:v>第一题</x:v>
      </x:c>
      <x:c r="B25" s="48" t="str">
        <x:v>Q1-10</x:v>
      </x:c>
      <x:c r="C25" s="48" t="n">
        <x:v>1</x:v>
      </x:c>
      <x:c r="D25" s="61" t="n">
        <x:v>35000</x:v>
      </x:c>
      <x:c r="E25" s="61" t="n">
        <x:v>35000</x:v>
      </x:c>
      <x:c r="F25" s="63" t="n">
        <x:f>E25-D25</x:f>
        <x:v>0</x:v>
      </x:c>
      <x:c r="G25" s="62" t="n">
        <x:v>71.19284305334952</x:v>
      </x:c>
      <x:c r="H25" s="62" t="n">
        <x:v>72.1</x:v>
      </x:c>
      <x:c r="I25" s="64" t="n">
        <x:f>H25-G25</x:f>
        <x:v>0.9071569466504741</x:v>
      </x:c>
      <x:c r="J25" s="64" t="n">
        <x:f>ABS(F25)</x:f>
        <x:v>0</x:v>
      </x:c>
      <x:c r="K25" s="64" t="n">
        <x:f>ABS(I25)</x:f>
        <x:v>0.9071569466504741</x:v>
      </x:c>
      <x:c r="L25" s="48" t="str">
        <x:f>IF(AND(J25&lt;='测试说明'!$B$5,K25&lt;='测试说明'!$B$4),"PASS","FAIL")</x:f>
        <x:v>PASS</x:v>
      </x:c>
    </x:row>
    <x:row r="26" ht="19" customHeight="1">
      <x:c r="A26" s="48" t="str">
        <x:v>第一题</x:v>
      </x:c>
      <x:c r="B26" s="48" t="str">
        <x:v>Q1-10</x:v>
      </x:c>
      <x:c r="C26" s="48" t="n">
        <x:v>2</x:v>
      </x:c>
      <x:c r="D26" s="61" t="n">
        <x:v>70000</x:v>
      </x:c>
      <x:c r="E26" s="61" t="n">
        <x:v>70001</x:v>
      </x:c>
      <x:c r="F26" s="63" t="n">
        <x:f>E26-D26</x:f>
        <x:v>1</x:v>
      </x:c>
      <x:c r="G26" s="62" t="n">
        <x:v>24.91749506867233</x:v>
      </x:c>
      <x:c r="H26" s="62" t="n">
        <x:v>25.1</x:v>
      </x:c>
      <x:c r="I26" s="64" t="n">
        <x:f>H26-G26</x:f>
        <x:v>0.18250493132767076</x:v>
      </x:c>
      <x:c r="J26" s="64" t="n">
        <x:f>ABS(F26)</x:f>
        <x:v>1</x:v>
      </x:c>
      <x:c r="K26" s="64" t="n">
        <x:f>ABS(I26)</x:f>
        <x:v>0.18250493132767076</x:v>
      </x:c>
      <x:c r="L26" s="48" t="str">
        <x:f>IF(AND(J26&lt;='测试说明'!$B$5,K26&lt;='测试说明'!$B$4),"PASS","FAIL")</x:f>
        <x:v>PASS</x:v>
      </x:c>
    </x:row>
    <x:row r="27" ht="19" customHeight="1">
      <x:c r="A27" s="48" t="str">
        <x:v>第一题</x:v>
      </x:c>
      <x:c r="B27" s="48" t="str">
        <x:v>Q1-10</x:v>
      </x:c>
      <x:c r="C27" s="48" t="n">
        <x:v>5</x:v>
      </x:c>
      <x:c r="D27" s="61" t="n">
        <x:v>175000</x:v>
      </x:c>
      <x:c r="E27" s="61" t="n">
        <x:v>175002</x:v>
      </x:c>
      <x:c r="F27" s="63" t="n">
        <x:f>E27-D27</x:f>
        <x:v>2</x:v>
      </x:c>
      <x:c r="G27" s="62" t="n">
        <x:v>42.71570583200971</x:v>
      </x:c>
      <x:c r="H27" s="62" t="n">
        <x:v>43.2</x:v>
      </x:c>
      <x:c r="I27" s="64" t="n">
        <x:f>H27-G27</x:f>
        <x:v>0.4842941679902921</x:v>
      </x:c>
      <x:c r="J27" s="64" t="n">
        <x:f>ABS(F27)</x:f>
        <x:v>2</x:v>
      </x:c>
      <x:c r="K27" s="64" t="n">
        <x:f>ABS(I27)</x:f>
        <x:v>0.4842941679902921</x:v>
      </x:c>
      <x:c r="L27" s="48" t="str">
        <x:f>IF(AND(J27&lt;='测试说明'!$B$5,K27&lt;='测试说明'!$B$4),"PASS","FAIL")</x:f>
        <x:v>PASS</x:v>
      </x:c>
    </x:row>
    <x:row r="28" ht="19" customHeight="1">
      <x:c r="A28" s="48" t="str">
        <x:v>第二题</x:v>
      </x:c>
      <x:c r="B28" s="48" t="str">
        <x:v>Q2-01</x:v>
      </x:c>
      <x:c r="C28" s="48" t="n">
        <x:v>1</x:v>
      </x:c>
      <x:c r="D28" s="61" t="n">
        <x:v>10000</x:v>
      </x:c>
      <x:c r="E28" s="61" t="n">
        <x:v>10002</x:v>
      </x:c>
      <x:c r="F28" s="63" t="n">
        <x:f>E28-D28</x:f>
        <x:v>2</x:v>
      </x:c>
      <x:c r="G28" s="62" t="n">
        <x:v>14.710152101219329</x:v>
      </x:c>
      <x:c r="H28" s="62" t="n">
        <x:v>15.1</x:v>
      </x:c>
      <x:c r="I28" s="64" t="n">
        <x:f>H28-G28</x:f>
        <x:v>0.38984789878067083</x:v>
      </x:c>
      <x:c r="J28" s="64" t="n">
        <x:f>ABS(F28)</x:f>
        <x:v>2</x:v>
      </x:c>
      <x:c r="K28" s="64" t="n">
        <x:f>ABS(I28)</x:f>
        <x:v>0.38984789878067083</x:v>
      </x:c>
      <x:c r="L28" s="48" t="str">
        <x:f>IF(AND(J28&lt;='测试说明'!$B$5,K28&lt;='测试说明'!$B$4),"PASS","FAIL")</x:f>
        <x:v>PASS</x:v>
      </x:c>
    </x:row>
    <x:row r="29" ht="19" customHeight="1">
      <x:c r="A29" s="48" t="str">
        <x:v>第二题</x:v>
      </x:c>
      <x:c r="B29" s="48" t="str">
        <x:v>Q2-01</x:v>
      </x:c>
      <x:c r="C29" s="48" t="n">
        <x:v>50</x:v>
      </x:c>
      <x:c r="D29" s="61" t="n">
        <x:v>500000</x:v>
      </x:c>
      <x:c r="E29" s="61" t="n">
        <x:v>500000</x:v>
      </x:c>
      <x:c r="F29" s="63" t="n">
        <x:f>E29-D29</x:f>
        <x:v>0</x:v>
      </x:c>
      <x:c r="G29" s="62" t="n">
        <x:v>10.29710647085353</x:v>
      </x:c>
      <x:c r="H29" s="62" t="n">
        <x:v>10.5</x:v>
      </x:c>
      <x:c r="I29" s="64" t="n">
        <x:f>H29-G29</x:f>
        <x:v>0.2028935291464702</x:v>
      </x:c>
      <x:c r="J29" s="64" t="n">
        <x:f>ABS(F29)</x:f>
        <x:v>0</x:v>
      </x:c>
      <x:c r="K29" s="64" t="n">
        <x:f>ABS(I29)</x:f>
        <x:v>0.2028935291464702</x:v>
      </x:c>
      <x:c r="L29" s="48" t="str">
        <x:f>IF(AND(J29&lt;='测试说明'!$B$5,K29&lt;='测试说明'!$B$4),"PASS","FAIL")</x:f>
        <x:v>PASS</x:v>
      </x:c>
    </x:row>
    <x:row r="30" ht="19" customHeight="1">
      <x:c r="A30" s="48" t="str">
        <x:v>第二题</x:v>
      </x:c>
      <x:c r="B30" s="48" t="str">
        <x:v>Q2-02</x:v>
      </x:c>
      <x:c r="C30" s="48" t="n">
        <x:v>1</x:v>
      </x:c>
      <x:c r="D30" s="61" t="n">
        <x:v>20000</x:v>
      </x:c>
      <x:c r="E30" s="61" t="n">
        <x:v>20000</x:v>
      </x:c>
      <x:c r="F30" s="63" t="n">
        <x:f>E30-D30</x:f>
        <x:v>0</x:v>
      </x:c>
      <x:c r="G30" s="62" t="n">
        <x:v>13.188857735458894</x:v>
      </x:c>
      <x:c r="H30" s="62" t="n">
        <x:v>13.5</x:v>
      </x:c>
      <x:c r="I30" s="64" t="n">
        <x:f>H30-G30</x:f>
        <x:v>0.3111422645411057</x:v>
      </x:c>
      <x:c r="J30" s="64" t="n">
        <x:f>ABS(F30)</x:f>
        <x:v>0</x:v>
      </x:c>
      <x:c r="K30" s="64" t="n">
        <x:f>ABS(I30)</x:f>
        <x:v>0.3111422645411057</x:v>
      </x:c>
      <x:c r="L30" s="48" t="str">
        <x:f>IF(AND(J30&lt;='测试说明'!$B$5,K30&lt;='测试说明'!$B$4),"PASS","FAIL")</x:f>
        <x:v>PASS</x:v>
      </x:c>
    </x:row>
    <x:row r="31" ht="19" customHeight="1">
      <x:c r="A31" s="48" t="str">
        <x:v>第二题</x:v>
      </x:c>
      <x:c r="B31" s="48" t="str">
        <x:v>Q2-02</x:v>
      </x:c>
      <x:c r="C31" s="48" t="n">
        <x:v>12</x:v>
      </x:c>
      <x:c r="D31" s="61" t="n">
        <x:v>240000</x:v>
      </x:c>
      <x:c r="E31" s="61" t="n">
        <x:v>240003</x:v>
      </x:c>
      <x:c r="F31" s="63" t="n">
        <x:f>E31-D31</x:f>
        <x:v>3</x:v>
      </x:c>
      <x:c r="G31" s="62" t="n">
        <x:v>23.97974133719799</x:v>
      </x:c>
      <x:c r="H31" s="62" t="n">
        <x:v>24.5</x:v>
      </x:c>
      <x:c r="I31" s="64" t="n">
        <x:f>H31-G31</x:f>
        <x:v>0.5202586628020107</x:v>
      </x:c>
      <x:c r="J31" s="64" t="n">
        <x:f>ABS(F31)</x:f>
        <x:v>3</x:v>
      </x:c>
      <x:c r="K31" s="64" t="n">
        <x:f>ABS(I31)</x:f>
        <x:v>0.5202586628020107</x:v>
      </x:c>
      <x:c r="L31" s="48" t="str">
        <x:f>IF(AND(J31&lt;='测试说明'!$B$5,K31&lt;='测试说明'!$B$4),"PASS","FAIL")</x:f>
        <x:v>PASS</x:v>
      </x:c>
    </x:row>
    <x:row r="32" ht="19" customHeight="1">
      <x:c r="A32" s="48" t="str">
        <x:v>第二题</x:v>
      </x:c>
      <x:c r="B32" s="48" t="str">
        <x:v>Q2-02</x:v>
      </x:c>
      <x:c r="C32" s="48" t="n">
        <x:v>25</x:v>
      </x:c>
      <x:c r="D32" s="61" t="n">
        <x:v>500000</x:v>
      </x:c>
      <x:c r="E32" s="61" t="n">
        <x:v>500000</x:v>
      </x:c>
      <x:c r="F32" s="63" t="n">
        <x:f>E32-D32</x:f>
        <x:v>0</x:v>
      </x:c>
      <x:c r="G32" s="62" t="n">
        <x:v>15.586831869178694</x:v>
      </x:c>
      <x:c r="H32" s="62" t="n">
        <x:v>16</x:v>
      </x:c>
      <x:c r="I32" s="64" t="n">
        <x:f>H32-G32</x:f>
        <x:v>0.41316813082130643</x:v>
      </x:c>
      <x:c r="J32" s="64" t="n">
        <x:f>ABS(F32)</x:f>
        <x:v>0</x:v>
      </x:c>
      <x:c r="K32" s="64" t="n">
        <x:f>ABS(I32)</x:f>
        <x:v>0.41316813082130643</x:v>
      </x:c>
      <x:c r="L32" s="48" t="str">
        <x:f>IF(AND(J32&lt;='测试说明'!$B$5,K32&lt;='测试说明'!$B$4),"PASS","FAIL")</x:f>
        <x:v>PASS</x:v>
      </x:c>
    </x:row>
    <x:row r="33" ht="19" customHeight="1">
      <x:c r="A33" s="48" t="str">
        <x:v>第二题</x:v>
      </x:c>
      <x:c r="B33" s="48" t="str">
        <x:v>Q2-03</x:v>
      </x:c>
      <x:c r="C33" s="48" t="n">
        <x:v>1</x:v>
      </x:c>
      <x:c r="D33" s="61" t="n">
        <x:v>50000</x:v>
      </x:c>
      <x:c r="E33" s="61" t="n">
        <x:v>50000</x:v>
      </x:c>
      <x:c r="F33" s="63" t="n">
        <x:f>E33-D33</x:f>
        <x:v>0</x:v>
      </x:c>
      <x:c r="G33" s="62" t="n">
        <x:v>15.82669125833295</x:v>
      </x:c>
      <x:c r="H33" s="62" t="n">
        <x:v>16.1</x:v>
      </x:c>
      <x:c r="I33" s="64" t="n">
        <x:f>H33-G33</x:f>
        <x:v>0.27330874166705144</x:v>
      </x:c>
      <x:c r="J33" s="64" t="n">
        <x:f>ABS(F33)</x:f>
        <x:v>0</x:v>
      </x:c>
      <x:c r="K33" s="64" t="n">
        <x:f>ABS(I33)</x:f>
        <x:v>0.27330874166705144</x:v>
      </x:c>
      <x:c r="L33" s="48" t="str">
        <x:f>IF(AND(J33&lt;='测试说明'!$B$5,K33&lt;='测试说明'!$B$4),"PASS","FAIL")</x:f>
        <x:v>PASS</x:v>
      </x:c>
    </x:row>
    <x:row r="34" ht="19" customHeight="1">
      <x:c r="A34" s="48" t="str">
        <x:v>第二题</x:v>
      </x:c>
      <x:c r="B34" s="48" t="str">
        <x:v>Q2-03</x:v>
      </x:c>
      <x:c r="C34" s="48" t="n">
        <x:v>5</x:v>
      </x:c>
      <x:c r="D34" s="61" t="n">
        <x:v>250000</x:v>
      </x:c>
      <x:c r="E34" s="61" t="n">
        <x:v>250003</x:v>
      </x:c>
      <x:c r="F34" s="63" t="n">
        <x:f>E34-D34</x:f>
        <x:v>3</x:v>
      </x:c>
      <x:c r="G34" s="62" t="n">
        <x:v>31.6533825166659</x:v>
      </x:c>
      <x:c r="H34" s="62" t="n">
        <x:v>32.4</x:v>
      </x:c>
      <x:c r="I34" s="64" t="n">
        <x:f>H34-G34</x:f>
        <x:v>0.7466174833340986</x:v>
      </x:c>
      <x:c r="J34" s="64" t="n">
        <x:f>ABS(F34)</x:f>
        <x:v>3</x:v>
      </x:c>
      <x:c r="K34" s="64" t="n">
        <x:f>ABS(I34)</x:f>
        <x:v>0.7466174833340986</x:v>
      </x:c>
      <x:c r="L34" s="48" t="str">
        <x:f>IF(AND(J34&lt;='测试说明'!$B$5,K34&lt;='测试说明'!$B$4),"PASS","FAIL")</x:f>
        <x:v>PASS</x:v>
      </x:c>
    </x:row>
    <x:row r="35" ht="19" customHeight="1">
      <x:c r="A35" s="48" t="str">
        <x:v>第二题</x:v>
      </x:c>
      <x:c r="B35" s="48" t="str">
        <x:v>Q2-03</x:v>
      </x:c>
      <x:c r="C35" s="48" t="n">
        <x:v>10</x:v>
      </x:c>
      <x:c r="D35" s="61" t="n">
        <x:v>500000</x:v>
      </x:c>
      <x:c r="E35" s="61" t="n">
        <x:v>500000</x:v>
      </x:c>
      <x:c r="F35" s="63" t="n">
        <x:f>E35-D35</x:f>
        <x:v>0</x:v>
      </x:c>
      <x:c r="G35" s="62" t="n">
        <x:v>22.15736776166613</x:v>
      </x:c>
      <x:c r="H35" s="62" t="n">
        <x:v>22.8</x:v>
      </x:c>
      <x:c r="I35" s="64" t="n">
        <x:f>H35-G35</x:f>
        <x:v>0.6426322383338707</x:v>
      </x:c>
      <x:c r="J35" s="64" t="n">
        <x:f>ABS(F35)</x:f>
        <x:v>0</x:v>
      </x:c>
      <x:c r="K35" s="64" t="n">
        <x:f>ABS(I35)</x:f>
        <x:v>0.6426322383338707</x:v>
      </x:c>
      <x:c r="L35" s="48" t="str">
        <x:f>IF(AND(J35&lt;='测试说明'!$B$5,K35&lt;='测试说明'!$B$4),"PASS","FAIL")</x:f>
        <x:v>PASS</x:v>
      </x:c>
    </x:row>
    <x:row r="36" ht="19" customHeight="1">
      <x:c r="A36" s="48" t="str">
        <x:v>第二题</x:v>
      </x:c>
      <x:c r="B36" s="48" t="str">
        <x:v>Q2-04</x:v>
      </x:c>
      <x:c r="C36" s="48" t="n">
        <x:v>1</x:v>
      </x:c>
      <x:c r="D36" s="61" t="n">
        <x:v>80000</x:v>
      </x:c>
      <x:c r="E36" s="61" t="n">
        <x:v>80001</x:v>
      </x:c>
      <x:c r="F36" s="63" t="n">
        <x:f>E36-D36</x:f>
        <x:v>1</x:v>
      </x:c>
      <x:c r="G36" s="62" t="n">
        <x:v>24.070795880812767</x:v>
      </x:c>
      <x:c r="H36" s="62" t="n">
        <x:v>24.2</x:v>
      </x:c>
      <x:c r="I36" s="64" t="n">
        <x:f>H36-G36</x:f>
        <x:v>0.12920411918723218</x:v>
      </x:c>
      <x:c r="J36" s="64" t="n">
        <x:f>ABS(F36)</x:f>
        <x:v>1</x:v>
      </x:c>
      <x:c r="K36" s="64" t="n">
        <x:f>ABS(I36)</x:f>
        <x:v>0.12920411918723218</x:v>
      </x:c>
      <x:c r="L36" s="48" t="str">
        <x:f>IF(AND(J36&lt;='测试说明'!$B$5,K36&lt;='测试说明'!$B$4),"PASS","FAIL")</x:f>
        <x:v>PASS</x:v>
      </x:c>
    </x:row>
    <x:row r="37" ht="19" customHeight="1">
      <x:c r="A37" s="48" t="str">
        <x:v>第二题</x:v>
      </x:c>
      <x:c r="B37" s="48" t="str">
        <x:v>Q2-04</x:v>
      </x:c>
      <x:c r="C37" s="48" t="n">
        <x:v>3</x:v>
      </x:c>
      <x:c r="D37" s="61" t="n">
        <x:v>240000</x:v>
      </x:c>
      <x:c r="E37" s="61" t="n">
        <x:v>240003</x:v>
      </x:c>
      <x:c r="F37" s="63" t="n">
        <x:f>E37-D37</x:f>
        <x:v>3</x:v>
      </x:c>
      <x:c r="G37" s="62" t="n">
        <x:v>53.49065751291726</x:v>
      </x:c>
      <x:c r="H37" s="62" t="n">
        <x:v>54</x:v>
      </x:c>
      <x:c r="I37" s="64" t="n">
        <x:f>H37-G37</x:f>
        <x:v>0.5093424870827405</x:v>
      </x:c>
      <x:c r="J37" s="64" t="n">
        <x:f>ABS(F37)</x:f>
        <x:v>3</x:v>
      </x:c>
      <x:c r="K37" s="64" t="n">
        <x:f>ABS(I37)</x:f>
        <x:v>0.5093424870827405</x:v>
      </x:c>
      <x:c r="L37" s="48" t="str">
        <x:f>IF(AND(J37&lt;='测试说明'!$B$5,K37&lt;='测试说明'!$B$4),"PASS","FAIL")</x:f>
        <x:v>PASS</x:v>
      </x:c>
    </x:row>
    <x:row r="38" ht="19" customHeight="1">
      <x:c r="A38" s="48" t="str">
        <x:v>第二题</x:v>
      </x:c>
      <x:c r="B38" s="48" t="str">
        <x:v>Q2-04</x:v>
      </x:c>
      <x:c r="C38" s="48" t="n">
        <x:v>6</x:v>
      </x:c>
      <x:c r="D38" s="61" t="n">
        <x:v>480000</x:v>
      </x:c>
      <x:c r="E38" s="61" t="n">
        <x:v>480005</x:v>
      </x:c>
      <x:c r="F38" s="63" t="n">
        <x:f>E38-D38</x:f>
        <x:v>5</x:v>
      </x:c>
      <x:c r="G38" s="62" t="n">
        <x:v>32.09439450775035</x:v>
      </x:c>
      <x:c r="H38" s="62" t="n">
        <x:v>32.7</x:v>
      </x:c>
      <x:c r="I38" s="64" t="n">
        <x:f>H38-G38</x:f>
        <x:v>0.6056054922496514</x:v>
      </x:c>
      <x:c r="J38" s="64" t="n">
        <x:f>ABS(F38)</x:f>
        <x:v>5</x:v>
      </x:c>
      <x:c r="K38" s="64" t="n">
        <x:f>ABS(I38)</x:f>
        <x:v>0.6056054922496514</x:v>
      </x:c>
      <x:c r="L38" s="48" t="str">
        <x:f>IF(AND(J38&lt;='测试说明'!$B$5,K38&lt;='测试说明'!$B$4),"PASS","FAIL")</x:f>
        <x:v>PASS</x:v>
      </x:c>
    </x:row>
    <x:row r="39" ht="19" customHeight="1">
      <x:c r="A39" s="48" t="str">
        <x:v>第二题</x:v>
      </x:c>
      <x:c r="B39" s="48" t="str">
        <x:v>Q2-05</x:v>
      </x:c>
      <x:c r="C39" s="48" t="n">
        <x:v>1</x:v>
      </x:c>
      <x:c r="D39" s="61" t="n">
        <x:v>100000</x:v>
      </x:c>
      <x:c r="E39" s="61" t="n">
        <x:v>100001</x:v>
      </x:c>
      <x:c r="F39" s="63" t="n">
        <x:f>E39-D39</x:f>
        <x:v>1</x:v>
      </x:c>
      <x:c r="G39" s="62" t="n">
        <x:v>31.442001499786684</x:v>
      </x:c>
      <x:c r="H39" s="62" t="n">
        <x:v>31.7</x:v>
      </x:c>
      <x:c r="I39" s="64" t="n">
        <x:f>H39-G39</x:f>
        <x:v>0.25799850021331494</x:v>
      </x:c>
      <x:c r="J39" s="64" t="n">
        <x:f>ABS(F39)</x:f>
        <x:v>1</x:v>
      </x:c>
      <x:c r="K39" s="64" t="n">
        <x:f>ABS(I39)</x:f>
        <x:v>0.25799850021331494</x:v>
      </x:c>
      <x:c r="L39" s="48" t="str">
        <x:f>IF(AND(J39&lt;='测试说明'!$B$5,K39&lt;='测试说明'!$B$4),"PASS","FAIL")</x:f>
        <x:v>PASS</x:v>
      </x:c>
    </x:row>
    <x:row r="40" ht="19" customHeight="1">
      <x:c r="A40" s="48" t="str">
        <x:v>第二题</x:v>
      </x:c>
      <x:c r="B40" s="48" t="str">
        <x:v>Q2-05</x:v>
      </x:c>
      <x:c r="C40" s="48" t="n">
        <x:v>3</x:v>
      </x:c>
      <x:c r="D40" s="61" t="n">
        <x:v>300000</x:v>
      </x:c>
      <x:c r="E40" s="61" t="n">
        <x:v>300003</x:v>
      </x:c>
      <x:c r="F40" s="63" t="n">
        <x:f>E40-D40</x:f>
        <x:v>3</x:v>
      </x:c>
      <x:c r="G40" s="62" t="n">
        <x:v>78.6050037494667</x:v>
      </x:c>
      <x:c r="H40" s="62" t="n">
        <x:v>79.5</x:v>
      </x:c>
      <x:c r="I40" s="64" t="n">
        <x:f>H40-G40</x:f>
        <x:v>0.8949962505332962</x:v>
      </x:c>
      <x:c r="J40" s="64" t="n">
        <x:f>ABS(F40)</x:f>
        <x:v>3</x:v>
      </x:c>
      <x:c r="K40" s="64" t="n">
        <x:f>ABS(I40)</x:f>
        <x:v>0.8949962505332962</x:v>
      </x:c>
      <x:c r="L40" s="48" t="str">
        <x:f>IF(AND(J40&lt;='测试说明'!$B$5,K40&lt;='测试说明'!$B$4),"PASS","FAIL")</x:f>
        <x:v>PASS</x:v>
      </x:c>
    </x:row>
    <x:row r="41" ht="19" customHeight="1">
      <x:c r="A41" s="48" t="str">
        <x:v>第二题</x:v>
      </x:c>
      <x:c r="B41" s="48" t="str">
        <x:v>Q2-05</x:v>
      </x:c>
      <x:c r="C41" s="48" t="n">
        <x:v>5</x:v>
      </x:c>
      <x:c r="D41" s="61" t="n">
        <x:v>500000</x:v>
      </x:c>
      <x:c r="E41" s="61" t="n">
        <x:v>500000</x:v>
      </x:c>
      <x:c r="F41" s="63" t="n">
        <x:f>E41-D41</x:f>
        <x:v>0</x:v>
      </x:c>
      <x:c r="G41" s="62" t="n">
        <x:v>43.23275206220669</x:v>
      </x:c>
      <x:c r="H41" s="62" t="n">
        <x:v>44</x:v>
      </x:c>
      <x:c r="I41" s="64" t="n">
        <x:f>H41-G41</x:f>
        <x:v>0.7672479377933072</x:v>
      </x:c>
      <x:c r="J41" s="64" t="n">
        <x:f>ABS(F41)</x:f>
        <x:v>0</x:v>
      </x:c>
      <x:c r="K41" s="64" t="n">
        <x:f>ABS(I41)</x:f>
        <x:v>0.7672479377933072</x:v>
      </x:c>
      <x:c r="L41" s="48" t="str">
        <x:f>IF(AND(J41&lt;='测试说明'!$B$5,K41&lt;='测试说明'!$B$4),"PASS","FAIL")</x:f>
        <x:v>PASS</x:v>
      </x:c>
    </x:row>
    <x:row r="42" ht="19" customHeight="1">
      <x:c r="A42" s="48" t="str">
        <x:v>第二题</x:v>
      </x:c>
      <x:c r="B42" s="48" t="str">
        <x:v>Q2-06</x:v>
      </x:c>
      <x:c r="C42" s="48" t="n">
        <x:v>1</x:v>
      </x:c>
      <x:c r="D42" s="61" t="n">
        <x:v>70000</x:v>
      </x:c>
      <x:c r="E42" s="61" t="n">
        <x:v>70001</x:v>
      </x:c>
      <x:c r="F42" s="63" t="n">
        <x:f>E42-D42</x:f>
        <x:v>1</x:v>
      </x:c>
      <x:c r="G42" s="62" t="n">
        <x:v>34.379623088394474</x:v>
      </x:c>
      <x:c r="H42" s="62" t="n">
        <x:v>35</x:v>
      </x:c>
      <x:c r="I42" s="64" t="n">
        <x:f>H42-G42</x:f>
        <x:v>0.6203769116055255</x:v>
      </x:c>
      <x:c r="J42" s="64" t="n">
        <x:f>ABS(F42)</x:f>
        <x:v>1</x:v>
      </x:c>
      <x:c r="K42" s="64" t="n">
        <x:f>ABS(I42)</x:f>
        <x:v>0.6203769116055255</x:v>
      </x:c>
      <x:c r="L42" s="48" t="str">
        <x:f>IF(AND(J42&lt;='测试说明'!$B$5,K42&lt;='测试说明'!$B$4),"PASS","FAIL")</x:f>
        <x:v>PASS</x:v>
      </x:c>
    </x:row>
    <x:row r="43" ht="19" customHeight="1">
      <x:c r="A43" s="48" t="str">
        <x:v>第二题</x:v>
      </x:c>
      <x:c r="B43" s="48" t="str">
        <x:v>Q2-06</x:v>
      </x:c>
      <x:c r="C43" s="48" t="n">
        <x:v>7</x:v>
      </x:c>
      <x:c r="D43" s="61" t="n">
        <x:v>490000</x:v>
      </x:c>
      <x:c r="E43" s="61" t="n">
        <x:v>490005</x:v>
      </x:c>
      <x:c r="F43" s="63" t="n">
        <x:f>E43-D43</x:f>
        <x:v>5</x:v>
      </x:c>
      <x:c r="G43" s="62" t="n">
        <x:v>18.908792698616963</x:v>
      </x:c>
      <x:c r="H43" s="62" t="n">
        <x:v>19.5</x:v>
      </x:c>
      <x:c r="I43" s="64" t="n">
        <x:f>H43-G43</x:f>
        <x:v>0.5912073013830366</x:v>
      </x:c>
      <x:c r="J43" s="64" t="n">
        <x:f>ABS(F43)</x:f>
        <x:v>5</x:v>
      </x:c>
      <x:c r="K43" s="64" t="n">
        <x:f>ABS(I43)</x:f>
        <x:v>0.5912073013830366</x:v>
      </x:c>
      <x:c r="L43" s="48" t="str">
        <x:f>IF(AND(J43&lt;='测试说明'!$B$5,K43&lt;='测试说明'!$B$4),"PASS","FAIL")</x:f>
        <x:v>PASS</x:v>
      </x:c>
    </x:row>
    <x:row r="44" ht="19" customHeight="1">
      <x:c r="A44" s="48" t="str">
        <x:v>第二题</x:v>
      </x:c>
      <x:c r="B44" s="48" t="str">
        <x:v>Q2-07</x:v>
      </x:c>
      <x:c r="C44" s="48" t="n">
        <x:v>1</x:v>
      </x:c>
      <x:c r="D44" s="61" t="n">
        <x:v>120000</x:v>
      </x:c>
      <x:c r="E44" s="61" t="n">
        <x:v>120001</x:v>
      </x:c>
      <x:c r="F44" s="63" t="n">
        <x:f>E44-D44</x:f>
        <x:v>1</x:v>
      </x:c>
      <x:c r="G44" s="62" t="n">
        <x:v>34.9539747394986</x:v>
      </x:c>
      <x:c r="H44" s="62" t="n">
        <x:v>35.2</x:v>
      </x:c>
      <x:c r="I44" s="64" t="n">
        <x:f>H44-G44</x:f>
        <x:v>0.24602526050140483</x:v>
      </x:c>
      <x:c r="J44" s="64" t="n">
        <x:f>ABS(F44)</x:f>
        <x:v>1</x:v>
      </x:c>
      <x:c r="K44" s="64" t="n">
        <x:f>ABS(I44)</x:f>
        <x:v>0.24602526050140483</x:v>
      </x:c>
      <x:c r="L44" s="48" t="str">
        <x:f>IF(AND(J44&lt;='测试说明'!$B$5,K44&lt;='测试说明'!$B$4),"PASS","FAIL")</x:f>
        <x:v>PASS</x:v>
      </x:c>
    </x:row>
    <x:row r="45" ht="19" customHeight="1">
      <x:c r="A45" s="48" t="str">
        <x:v>第二题</x:v>
      </x:c>
      <x:c r="B45" s="48" t="str">
        <x:v>Q2-07</x:v>
      </x:c>
      <x:c r="C45" s="48" t="n">
        <x:v>2</x:v>
      </x:c>
      <x:c r="D45" s="61" t="n">
        <x:v>240000</x:v>
      </x:c>
      <x:c r="E45" s="61" t="n">
        <x:v>240003</x:v>
      </x:c>
      <x:c r="F45" s="63" t="n">
        <x:f>E45-D45</x:f>
        <x:v>3</x:v>
      </x:c>
      <x:c r="G45" s="62" t="n">
        <x:v>24.673393933763716</x:v>
      </x:c>
      <x:c r="H45" s="62" t="n">
        <x:v>24.9</x:v>
      </x:c>
      <x:c r="I45" s="64" t="n">
        <x:f>H45-G45</x:f>
        <x:v>0.22660606623628254</x:v>
      </x:c>
      <x:c r="J45" s="64" t="n">
        <x:f>ABS(F45)</x:f>
        <x:v>3</x:v>
      </x:c>
      <x:c r="K45" s="64" t="n">
        <x:f>ABS(I45)</x:f>
        <x:v>0.22660606623628254</x:v>
      </x:c>
      <x:c r="L45" s="48" t="str">
        <x:f>IF(AND(J45&lt;='测试说明'!$B$5,K45&lt;='测试说明'!$B$4),"PASS","FAIL")</x:f>
        <x:v>PASS</x:v>
      </x:c>
    </x:row>
    <x:row r="46" ht="19" customHeight="1">
      <x:c r="A46" s="48" t="str">
        <x:v>第二题</x:v>
      </x:c>
      <x:c r="B46" s="48" t="str">
        <x:v>Q2-07</x:v>
      </x:c>
      <x:c r="C46" s="48" t="n">
        <x:v>4</x:v>
      </x:c>
      <x:c r="D46" s="61" t="n">
        <x:v>480000</x:v>
      </x:c>
      <x:c r="E46" s="61" t="n">
        <x:v>480005</x:v>
      </x:c>
      <x:c r="F46" s="63" t="n">
        <x:f>E46-D46</x:f>
        <x:v>5</x:v>
      </x:c>
      <x:c r="G46" s="62" t="n">
        <x:v>41.12232322293953</x:v>
      </x:c>
      <x:c r="H46" s="62" t="n">
        <x:v>41.9</x:v>
      </x:c>
      <x:c r="I46" s="64" t="n">
        <x:f>H46-G46</x:f>
        <x:v>0.7776767770604707</x:v>
      </x:c>
      <x:c r="J46" s="64" t="n">
        <x:f>ABS(F46)</x:f>
        <x:v>5</x:v>
      </x:c>
      <x:c r="K46" s="64" t="n">
        <x:f>ABS(I46)</x:f>
        <x:v>0.7776767770604707</x:v>
      </x:c>
      <x:c r="L46" s="48" t="str">
        <x:f>IF(AND(J46&lt;='测试说明'!$B$5,K46&lt;='测试说明'!$B$4),"PASS","FAIL")</x:f>
        <x:v>PASS</x:v>
      </x:c>
    </x:row>
    <x:row r="47" ht="19" customHeight="1">
      <x:c r="A47" s="48" t="str">
        <x:v>第二题</x:v>
      </x:c>
      <x:c r="B47" s="48" t="str">
        <x:v>Q2-08</x:v>
      </x:c>
      <x:c r="C47" s="48" t="n">
        <x:v>1</x:v>
      </x:c>
      <x:c r="D47" s="61" t="n">
        <x:v>250000</x:v>
      </x:c>
      <x:c r="E47" s="61" t="n">
        <x:v>250003</x:v>
      </x:c>
      <x:c r="F47" s="63" t="n">
        <x:f>E47-D47</x:f>
        <x:v>3</x:v>
      </x:c>
      <x:c r="G47" s="62" t="n">
        <x:v>76.10397816996331</x:v>
      </x:c>
      <x:c r="H47" s="62" t="n">
        <x:v>76.8</x:v>
      </x:c>
      <x:c r="I47" s="64" t="n">
        <x:f>H47-G47</x:f>
        <x:v>0.6960218300366847</x:v>
      </x:c>
      <x:c r="J47" s="64" t="n">
        <x:f>ABS(F47)</x:f>
        <x:v>3</x:v>
      </x:c>
      <x:c r="K47" s="64" t="n">
        <x:f>ABS(I47)</x:f>
        <x:v>0.6960218300366847</x:v>
      </x:c>
      <x:c r="L47" s="48" t="str">
        <x:f>IF(AND(J47&lt;='测试说明'!$B$5,K47&lt;='测试说明'!$B$4),"PASS","FAIL")</x:f>
        <x:v>PASS</x:v>
      </x:c>
    </x:row>
    <x:row r="48" ht="19" customHeight="1">
      <x:c r="A48" s="48" t="str">
        <x:v>第二题</x:v>
      </x:c>
      <x:c r="B48" s="48" t="str">
        <x:v>Q2-08</x:v>
      </x:c>
      <x:c r="C48" s="48" t="n">
        <x:v>2</x:v>
      </x:c>
      <x:c r="D48" s="61" t="n">
        <x:v>500000</x:v>
      </x:c>
      <x:c r="E48" s="61" t="n">
        <x:v>500000</x:v>
      </x:c>
      <x:c r="F48" s="63" t="n">
        <x:f>E48-D48</x:f>
        <x:v>0</x:v>
      </x:c>
      <x:c r="G48" s="62" t="n">
        <x:v>53.272784718974314</x:v>
      </x:c>
      <x:c r="H48" s="62" t="n">
        <x:v>54.1</x:v>
      </x:c>
      <x:c r="I48" s="64" t="n">
        <x:f>H48-G48</x:f>
        <x:v>0.827215281025687</x:v>
      </x:c>
      <x:c r="J48" s="64" t="n">
        <x:f>ABS(F48)</x:f>
        <x:v>0</x:v>
      </x:c>
      <x:c r="K48" s="64" t="n">
        <x:f>ABS(I48)</x:f>
        <x:v>0.827215281025687</x:v>
      </x:c>
      <x:c r="L48" s="48" t="str">
        <x:f>IF(AND(J48&lt;='测试说明'!$B$5,K48&lt;='测试说明'!$B$4),"PASS","FAIL")</x:f>
        <x:v>PASS</x:v>
      </x:c>
    </x:row>
    <x:row r="49" ht="19" customHeight="1">
      <x:c r="A49" s="48" t="str">
        <x:v>第二题</x:v>
      </x:c>
      <x:c r="B49" s="48" t="str">
        <x:v>Q2-09</x:v>
      </x:c>
      <x:c r="C49" s="48" t="n">
        <x:v>1</x:v>
      </x:c>
      <x:c r="D49" s="61" t="n">
        <x:v>160000</x:v>
      </x:c>
      <x:c r="E49" s="61" t="n">
        <x:v>160002</x:v>
      </x:c>
      <x:c r="F49" s="63" t="n">
        <x:f>E49-D49</x:f>
        <x:v>2</x:v>
      </x:c>
      <x:c r="G49" s="62" t="n">
        <x:v>28.978072426782234</x:v>
      </x:c>
      <x:c r="H49" s="62" t="n">
        <x:v>29.2</x:v>
      </x:c>
      <x:c r="I49" s="64" t="n">
        <x:f>H49-G49</x:f>
        <x:v>0.22192757321776568</x:v>
      </x:c>
      <x:c r="J49" s="64" t="n">
        <x:f>ABS(F49)</x:f>
        <x:v>2</x:v>
      </x:c>
      <x:c r="K49" s="64" t="n">
        <x:f>ABS(I49)</x:f>
        <x:v>0.22192757321776568</x:v>
      </x:c>
      <x:c r="L49" s="48" t="str">
        <x:f>IF(AND(J49&lt;='测试说明'!$B$5,K49&lt;='测试说明'!$B$4),"PASS","FAIL")</x:f>
        <x:v>PASS</x:v>
      </x:c>
    </x:row>
    <x:row r="50" ht="19" customHeight="1">
      <x:c r="A50" s="48" t="str">
        <x:v>第二题</x:v>
      </x:c>
      <x:c r="B50" s="48" t="str">
        <x:v>Q2-09</x:v>
      </x:c>
      <x:c r="C50" s="48" t="n">
        <x:v>2</x:v>
      </x:c>
      <x:c r="D50" s="61" t="n">
        <x:v>320000</x:v>
      </x:c>
      <x:c r="E50" s="61" t="n">
        <x:v>320003</x:v>
      </x:c>
      <x:c r="F50" s="63" t="n">
        <x:f>E50-D50</x:f>
        <x:v>3</x:v>
      </x:c>
      <x:c r="G50" s="62" t="n">
        <x:v>48.29678737797039</x:v>
      </x:c>
      <x:c r="H50" s="62" t="n">
        <x:v>49</x:v>
      </x:c>
      <x:c r="I50" s="64" t="n">
        <x:f>H50-G50</x:f>
        <x:v>0.7032126220296107</x:v>
      </x:c>
      <x:c r="J50" s="64" t="n">
        <x:f>ABS(F50)</x:f>
        <x:v>3</x:v>
      </x:c>
      <x:c r="K50" s="64" t="n">
        <x:f>ABS(I50)</x:f>
        <x:v>0.7032126220296107</x:v>
      </x:c>
      <x:c r="L50" s="48" t="str">
        <x:f>IF(AND(J50&lt;='测试说明'!$B$5,K50&lt;='测试说明'!$B$4),"PASS","FAIL")</x:f>
        <x:v>PASS</x:v>
      </x:c>
    </x:row>
    <x:row r="51" ht="19" customHeight="1">
      <x:c r="A51" s="48" t="str">
        <x:v>第二题</x:v>
      </x:c>
      <x:c r="B51" s="48" t="str">
        <x:v>Q2-09</x:v>
      </x:c>
      <x:c r="C51" s="48" t="n">
        <x:v>3</x:v>
      </x:c>
      <x:c r="D51" s="61" t="n">
        <x:v>480000</x:v>
      </x:c>
      <x:c r="E51" s="61" t="n">
        <x:v>480005</x:v>
      </x:c>
      <x:c r="F51" s="63" t="n">
        <x:f>E51-D51</x:f>
        <x:v>5</x:v>
      </x:c>
      <x:c r="G51" s="62" t="n">
        <x:v>38.63742990237631</x:v>
      </x:c>
      <x:c r="H51" s="62" t="n">
        <x:v>39.3</x:v>
      </x:c>
      <x:c r="I51" s="64" t="n">
        <x:f>H51-G51</x:f>
        <x:v>0.6625700976236857</x:v>
      </x:c>
      <x:c r="J51" s="64" t="n">
        <x:f>ABS(F51)</x:f>
        <x:v>5</x:v>
      </x:c>
      <x:c r="K51" s="64" t="n">
        <x:f>ABS(I51)</x:f>
        <x:v>0.6625700976236857</x:v>
      </x:c>
      <x:c r="L51" s="48" t="str">
        <x:f>IF(AND(J51&lt;='测试说明'!$B$5,K51&lt;='测试说明'!$B$4),"PASS","FAIL")</x:f>
        <x:v>PASS</x:v>
      </x:c>
    </x:row>
    <x:row r="52" ht="19" customHeight="1">
      <x:c r="A52" s="48" t="str">
        <x:v>第二题</x:v>
      </x:c>
      <x:c r="B52" s="48" t="str">
        <x:v>Q2-10</x:v>
      </x:c>
      <x:c r="C52" s="48" t="n">
        <x:v>1</x:v>
      </x:c>
      <x:c r="D52" s="61" t="n">
        <x:v>62500</x:v>
      </x:c>
      <x:c r="E52" s="61" t="n">
        <x:v>62501</x:v>
      </x:c>
      <x:c r="F52" s="63" t="n">
        <x:f>E52-D52</x:f>
        <x:v>1</x:v>
      </x:c>
      <x:c r="G52" s="62" t="n">
        <x:v>26.453002820797632</x:v>
      </x:c>
      <x:c r="H52" s="62" t="n">
        <x:v>26.9</x:v>
      </x:c>
      <x:c r="I52" s="64" t="n">
        <x:f>H52-G52</x:f>
        <x:v>0.44699717920236637</x:v>
      </x:c>
      <x:c r="J52" s="64" t="n">
        <x:f>ABS(F52)</x:f>
        <x:v>1</x:v>
      </x:c>
      <x:c r="K52" s="64" t="n">
        <x:f>ABS(I52)</x:f>
        <x:v>0.44699717920236637</x:v>
      </x:c>
      <x:c r="L52" s="48" t="str">
        <x:f>IF(AND(J52&lt;='测试说明'!$B$5,K52&lt;='测试说明'!$B$4),"PASS","FAIL")</x:f>
        <x:v>PASS</x:v>
      </x:c>
    </x:row>
    <x:row r="53" ht="19" customHeight="1">
      <x:c r="A53" s="48" t="str">
        <x:v>第二题</x:v>
      </x:c>
      <x:c r="B53" s="48" t="str">
        <x:v>Q2-10</x:v>
      </x:c>
      <x:c r="C53" s="48" t="n">
        <x:v>3</x:v>
      </x:c>
      <x:c r="D53" s="61" t="n">
        <x:v>187500</x:v>
      </x:c>
      <x:c r="E53" s="61" t="n">
        <x:v>187502</x:v>
      </x:c>
      <x:c r="F53" s="63" t="n">
        <x:f>E53-D53</x:f>
        <x:v>2</x:v>
      </x:c>
      <x:c r="G53" s="62" t="n">
        <x:v>10.581201128319051</x:v>
      </x:c>
      <x:c r="H53" s="62" t="n">
        <x:v>10.8</x:v>
      </x:c>
      <x:c r="I53" s="64" t="n">
        <x:f>H53-G53</x:f>
        <x:v>0.21879887168094925</x:v>
      </x:c>
      <x:c r="J53" s="64" t="n">
        <x:f>ABS(F53)</x:f>
        <x:v>2</x:v>
      </x:c>
      <x:c r="K53" s="64" t="n">
        <x:f>ABS(I53)</x:f>
        <x:v>0.21879887168094925</x:v>
      </x:c>
      <x:c r="L53" s="48" t="str">
        <x:f>IF(AND(J53&lt;='测试说明'!$B$5,K53&lt;='测试说明'!$B$4),"PASS","FAIL")</x:f>
        <x:v>PASS</x:v>
      </x:c>
    </x:row>
    <x:row r="54" ht="19" customHeight="1">
      <x:c r="A54" s="48" t="str">
        <x:v>第二题</x:v>
      </x:c>
      <x:c r="B54" s="48" t="str">
        <x:v>Q2-10</x:v>
      </x:c>
      <x:c r="C54" s="48" t="n">
        <x:v>8</x:v>
      </x:c>
      <x:c r="D54" s="61" t="n">
        <x:v>500000</x:v>
      </x:c>
      <x:c r="E54" s="61" t="n">
        <x:v>500000</x:v>
      </x:c>
      <x:c r="F54" s="63" t="n">
        <x:f>E54-D54</x:f>
        <x:v>0</x:v>
      </x:c>
      <x:c r="G54" s="62" t="n">
        <x:v>19.839752115598223</x:v>
      </x:c>
      <x:c r="H54" s="62" t="n">
        <x:v>20.4</x:v>
      </x:c>
      <x:c r="I54" s="64" t="n">
        <x:f>H54-G54</x:f>
        <x:v>0.5602478844017753</x:v>
      </x:c>
      <x:c r="J54" s="64" t="n">
        <x:f>ABS(F54)</x:f>
        <x:v>0</x:v>
      </x:c>
      <x:c r="K54" s="64" t="n">
        <x:f>ABS(I54)</x:f>
        <x:v>0.5602478844017753</x:v>
      </x:c>
      <x:c r="L54" s="48" t="str">
        <x:f>IF(AND(J54&lt;='测试说明'!$B$5,K54&lt;='测试说明'!$B$4),"PASS","FAIL")</x:f>
        <x:v>PASS</x:v>
      </x:c>
    </x:row>
    <x:row r="55" ht="19" customHeight="1">
      <x:c r="A55" s="48" t="str">
        <x:v>第三题</x:v>
      </x:c>
      <x:c r="B55" s="48" t="str">
        <x:v>Q3-01</x:v>
      </x:c>
      <x:c r="C55" s="48" t="n">
        <x:v>1</x:v>
      </x:c>
      <x:c r="D55" s="61" t="n">
        <x:v>10000</x:v>
      </x:c>
      <x:c r="E55" s="61" t="n">
        <x:v>10001</x:v>
      </x:c>
      <x:c r="F55" s="63" t="n">
        <x:f>E55-D55</x:f>
        <x:v>1</x:v>
      </x:c>
      <x:c r="G55" s="62" t="n">
        <x:v>14.710152101219329</x:v>
      </x:c>
      <x:c r="H55" s="62" t="n">
        <x:v>15</x:v>
      </x:c>
      <x:c r="I55" s="64" t="n">
        <x:f>H55-G55</x:f>
        <x:v>0.2898478987806712</x:v>
      </x:c>
      <x:c r="J55" s="64" t="n">
        <x:f>ABS(F55)</x:f>
        <x:v>1</x:v>
      </x:c>
      <x:c r="K55" s="64" t="n">
        <x:f>ABS(I55)</x:f>
        <x:v>0.2898478987806712</x:v>
      </x:c>
      <x:c r="L55" s="48" t="str">
        <x:f>IF(AND(J55&lt;='测试说明'!$B$5,K55&lt;='测试说明'!$B$4),"PASS","FAIL")</x:f>
        <x:v>PASS</x:v>
      </x:c>
    </x:row>
    <x:row r="56" ht="19" customHeight="1">
      <x:c r="A56" s="48" t="str">
        <x:v>第三题</x:v>
      </x:c>
      <x:c r="B56" s="48" t="str">
        <x:v>Q3-01</x:v>
      </x:c>
      <x:c r="C56" s="48" t="n">
        <x:v>50</x:v>
      </x:c>
      <x:c r="D56" s="61" t="n">
        <x:v>500000</x:v>
      </x:c>
      <x:c r="E56" s="61" t="n">
        <x:v>500000</x:v>
      </x:c>
      <x:c r="F56" s="63" t="n">
        <x:f>E56-D56</x:f>
        <x:v>0</x:v>
      </x:c>
      <x:c r="G56" s="62" t="n">
        <x:v>10.29710647085353</x:v>
      </x:c>
      <x:c r="H56" s="62" t="n">
        <x:v>10.4</x:v>
      </x:c>
      <x:c r="I56" s="64" t="n">
        <x:f>H56-G56</x:f>
        <x:v>0.10289352914647054</x:v>
      </x:c>
      <x:c r="J56" s="64" t="n">
        <x:f>ABS(F56)</x:f>
        <x:v>0</x:v>
      </x:c>
      <x:c r="K56" s="64" t="n">
        <x:f>ABS(I56)</x:f>
        <x:v>0.10289352914647054</x:v>
      </x:c>
      <x:c r="L56" s="48" t="str">
        <x:f>IF(AND(J56&lt;='测试说明'!$B$5,K56&lt;='测试说明'!$B$4),"PASS","FAIL")</x:f>
        <x:v>PASS</x:v>
      </x:c>
    </x:row>
    <x:row r="57" ht="19" customHeight="1">
      <x:c r="A57" s="48" t="str">
        <x:v>第三题</x:v>
      </x:c>
      <x:c r="B57" s="48" t="str">
        <x:v>Q3-02</x:v>
      </x:c>
      <x:c r="C57" s="48" t="n">
        <x:v>1</x:v>
      </x:c>
      <x:c r="D57" s="61" t="n">
        <x:v>12500</x:v>
      </x:c>
      <x:c r="E57" s="61" t="n">
        <x:v>12500</x:v>
      </x:c>
      <x:c r="F57" s="63" t="n">
        <x:f>E57-D57</x:f>
        <x:v>0</x:v>
      </x:c>
      <x:c r="G57" s="62" t="n">
        <x:v>55.48721400088095</x:v>
      </x:c>
      <x:c r="H57" s="62" t="n">
        <x:v>56.3</x:v>
      </x:c>
      <x:c r="I57" s="64" t="n">
        <x:f>H57-G57</x:f>
        <x:v>0.8127859991190505</x:v>
      </x:c>
      <x:c r="J57" s="64" t="n">
        <x:f>ABS(F57)</x:f>
        <x:v>0</x:v>
      </x:c>
      <x:c r="K57" s="64" t="n">
        <x:f>ABS(I57)</x:f>
        <x:v>0.8127859991190505</x:v>
      </x:c>
      <x:c r="L57" s="48" t="str">
        <x:f>IF(AND(J57&lt;='测试说明'!$B$5,K57&lt;='测试说明'!$B$4),"PASS","FAIL")</x:f>
        <x:v>PASS</x:v>
      </x:c>
    </x:row>
    <x:row r="58" ht="19" customHeight="1">
      <x:c r="A58" s="48" t="str">
        <x:v>第三题</x:v>
      </x:c>
      <x:c r="B58" s="48" t="str">
        <x:v>Q3-02</x:v>
      </x:c>
      <x:c r="C58" s="48" t="n">
        <x:v>7</x:v>
      </x:c>
      <x:c r="D58" s="61" t="n">
        <x:v>87500</x:v>
      </x:c>
      <x:c r="E58" s="61" t="n">
        <x:v>87501</x:v>
      </x:c>
      <x:c r="F58" s="63" t="n">
        <x:f>E58-D58</x:f>
        <x:v>1</x:v>
      </x:c>
      <x:c r="G58" s="62" t="n">
        <x:v>30.51796770048452</x:v>
      </x:c>
      <x:c r="H58" s="62" t="n">
        <x:v>30.8</x:v>
      </x:c>
      <x:c r="I58" s="64" t="n">
        <x:f>H58-G58</x:f>
        <x:v>0.2820322995154818</x:v>
      </x:c>
      <x:c r="J58" s="64" t="n">
        <x:f>ABS(F58)</x:f>
        <x:v>1</x:v>
      </x:c>
      <x:c r="K58" s="64" t="n">
        <x:f>ABS(I58)</x:f>
        <x:v>0.2820322995154818</x:v>
      </x:c>
      <x:c r="L58" s="48" t="str">
        <x:f>IF(AND(J58&lt;='测试说明'!$B$5,K58&lt;='测试说明'!$B$4),"PASS","FAIL")</x:f>
        <x:v>PASS</x:v>
      </x:c>
    </x:row>
    <x:row r="59" ht="19" customHeight="1">
      <x:c r="A59" s="48" t="str">
        <x:v>第三题</x:v>
      </x:c>
      <x:c r="B59" s="48" t="str">
        <x:v>Q3-02</x:v>
      </x:c>
      <x:c r="C59" s="48" t="n">
        <x:v>40</x:v>
      </x:c>
      <x:c r="D59" s="61" t="n">
        <x:v>500000</x:v>
      </x:c>
      <x:c r="E59" s="61" t="n">
        <x:v>500000</x:v>
      </x:c>
      <x:c r="F59" s="63" t="n">
        <x:f>E59-D59</x:f>
        <x:v>0</x:v>
      </x:c>
      <x:c r="G59" s="62" t="n">
        <x:v>44.38977120070476</x:v>
      </x:c>
      <x:c r="H59" s="62" t="n">
        <x:v>45</x:v>
      </x:c>
      <x:c r="I59" s="64" t="n">
        <x:f>H59-G59</x:f>
        <x:v>0.6102287992952427</x:v>
      </x:c>
      <x:c r="J59" s="64" t="n">
        <x:f>ABS(F59)</x:f>
        <x:v>0</x:v>
      </x:c>
      <x:c r="K59" s="64" t="n">
        <x:f>ABS(I59)</x:f>
        <x:v>0.6102287992952427</x:v>
      </x:c>
      <x:c r="L59" s="48" t="str">
        <x:f>IF(AND(J59&lt;='测试说明'!$B$5,K59&lt;='测试说明'!$B$4),"PASS","FAIL")</x:f>
        <x:v>PASS</x:v>
      </x:c>
    </x:row>
    <x:row r="60" ht="19" customHeight="1">
      <x:c r="A60" s="48" t="str">
        <x:v>第三题</x:v>
      </x:c>
      <x:c r="B60" s="48" t="str">
        <x:v>Q3-03</x:v>
      </x:c>
      <x:c r="C60" s="48" t="n">
        <x:v>1</x:v>
      </x:c>
      <x:c r="D60" s="61" t="n">
        <x:v>20000</x:v>
      </x:c>
      <x:c r="E60" s="61" t="n">
        <x:v>20000</x:v>
      </x:c>
      <x:c r="F60" s="63" t="n">
        <x:f>E60-D60</x:f>
        <x:v>0</x:v>
      </x:c>
      <x:c r="G60" s="62" t="n">
        <x:v>27.77777777777778</x:v>
      </x:c>
      <x:c r="H60" s="62" t="n">
        <x:v>28.1</x:v>
      </x:c>
      <x:c r="I60" s="64" t="n">
        <x:f>H60-G60</x:f>
        <x:v>0.32222222222222285</x:v>
      </x:c>
      <x:c r="J60" s="64" t="n">
        <x:f>ABS(F60)</x:f>
        <x:v>0</x:v>
      </x:c>
      <x:c r="K60" s="64" t="n">
        <x:f>ABS(I60)</x:f>
        <x:v>0.32222222222222285</x:v>
      </x:c>
      <x:c r="L60" s="48" t="str">
        <x:f>IF(AND(J60&lt;='测试说明'!$B$5,K60&lt;='测试说明'!$B$4),"PASS","FAIL")</x:f>
        <x:v>PASS</x:v>
      </x:c>
    </x:row>
    <x:row r="61" ht="19" customHeight="1">
      <x:c r="A61" s="48" t="str">
        <x:v>第三题</x:v>
      </x:c>
      <x:c r="B61" s="48" t="str">
        <x:v>Q3-03</x:v>
      </x:c>
      <x:c r="C61" s="48" t="n">
        <x:v>25</x:v>
      </x:c>
      <x:c r="D61" s="61" t="n">
        <x:v>500000</x:v>
      </x:c>
      <x:c r="E61" s="61" t="n">
        <x:v>500000</x:v>
      </x:c>
      <x:c r="F61" s="63" t="n">
        <x:f>E61-D61</x:f>
        <x:v>0</x:v>
      </x:c>
      <x:c r="G61" s="62" t="n">
        <x:v>22.222222222222225</x:v>
      </x:c>
      <x:c r="H61" s="62" t="n">
        <x:v>22.6</x:v>
      </x:c>
      <x:c r="I61" s="64" t="n">
        <x:f>H61-G61</x:f>
        <x:v>0.37777777777777644</x:v>
      </x:c>
      <x:c r="J61" s="64" t="n">
        <x:f>ABS(F61)</x:f>
        <x:v>0</x:v>
      </x:c>
      <x:c r="K61" s="64" t="n">
        <x:f>ABS(I61)</x:f>
        <x:v>0.37777777777777644</x:v>
      </x:c>
      <x:c r="L61" s="48" t="str">
        <x:f>IF(AND(J61&lt;='测试说明'!$B$5,K61&lt;='测试说明'!$B$4),"PASS","FAIL")</x:f>
        <x:v>PASS</x:v>
      </x:c>
    </x:row>
    <x:row r="62" ht="19" customHeight="1">
      <x:c r="A62" s="48" t="str">
        <x:v>第三题</x:v>
      </x:c>
      <x:c r="B62" s="48" t="str">
        <x:v>Q3-04</x:v>
      </x:c>
      <x:c r="C62" s="48" t="n">
        <x:v>1</x:v>
      </x:c>
      <x:c r="D62" s="61" t="n">
        <x:v>25000</x:v>
      </x:c>
      <x:c r="E62" s="61" t="n">
        <x:v>25000</x:v>
      </x:c>
      <x:c r="F62" s="63" t="n">
        <x:f>E62-D62</x:f>
        <x:v>0</x:v>
      </x:c>
      <x:c r="G62" s="62" t="n">
        <x:v>55.24532935283155</x:v>
      </x:c>
      <x:c r="H62" s="62" t="n">
        <x:v>55.9</x:v>
      </x:c>
      <x:c r="I62" s="64" t="n">
        <x:f>H62-G62</x:f>
        <x:v>0.6546706471684516</x:v>
      </x:c>
      <x:c r="J62" s="64" t="n">
        <x:f>ABS(F62)</x:f>
        <x:v>0</x:v>
      </x:c>
      <x:c r="K62" s="64" t="n">
        <x:f>ABS(I62)</x:f>
        <x:v>0.6546706471684516</x:v>
      </x:c>
      <x:c r="L62" s="48" t="str">
        <x:f>IF(AND(J62&lt;='测试说明'!$B$5,K62&lt;='测试说明'!$B$4),"PASS","FAIL")</x:f>
        <x:v>PASS</x:v>
      </x:c>
    </x:row>
    <x:row r="63" ht="19" customHeight="1">
      <x:c r="A63" s="48" t="str">
        <x:v>第三题</x:v>
      </x:c>
      <x:c r="B63" s="48" t="str">
        <x:v>Q3-04</x:v>
      </x:c>
      <x:c r="C63" s="48" t="n">
        <x:v>6</x:v>
      </x:c>
      <x:c r="D63" s="61" t="n">
        <x:v>150000</x:v>
      </x:c>
      <x:c r="E63" s="61" t="n">
        <x:v>150002</x:v>
      </x:c>
      <x:c r="F63" s="63" t="n">
        <x:f>E63-D63</x:f>
        <x:v>2</x:v>
      </x:c>
      <x:c r="G63" s="62" t="n">
        <x:v>35.90946407934051</x:v>
      </x:c>
      <x:c r="H63" s="62" t="n">
        <x:v>36.2</x:v>
      </x:c>
      <x:c r="I63" s="64" t="n">
        <x:f>H63-G63</x:f>
        <x:v>0.29053592065949374</x:v>
      </x:c>
      <x:c r="J63" s="64" t="n">
        <x:f>ABS(F63)</x:f>
        <x:v>2</x:v>
      </x:c>
      <x:c r="K63" s="64" t="n">
        <x:f>ABS(I63)</x:f>
        <x:v>0.29053592065949374</x:v>
      </x:c>
      <x:c r="L63" s="48" t="str">
        <x:f>IF(AND(J63&lt;='测试说明'!$B$5,K63&lt;='测试说明'!$B$4),"PASS","FAIL")</x:f>
        <x:v>PASS</x:v>
      </x:c>
    </x:row>
    <x:row r="64" ht="19" customHeight="1">
      <x:c r="A64" s="48" t="str">
        <x:v>第三题</x:v>
      </x:c>
      <x:c r="B64" s="48" t="str">
        <x:v>Q3-04</x:v>
      </x:c>
      <x:c r="C64" s="48" t="n">
        <x:v>19</x:v>
      </x:c>
      <x:c r="D64" s="61" t="n">
        <x:v>475000</x:v>
      </x:c>
      <x:c r="E64" s="61" t="n">
        <x:v>475005</x:v>
      </x:c>
      <x:c r="F64" s="63" t="n">
        <x:f>E64-D64</x:f>
        <x:v>5</x:v>
      </x:c>
      <x:c r="G64" s="62" t="n">
        <x:v>24.860398208774196</x:v>
      </x:c>
      <x:c r="H64" s="62" t="n">
        <x:v>25.3</x:v>
      </x:c>
      <x:c r="I64" s="64" t="n">
        <x:f>H64-G64</x:f>
        <x:v>0.43960179122580456</x:v>
      </x:c>
      <x:c r="J64" s="64" t="n">
        <x:f>ABS(F64)</x:f>
        <x:v>5</x:v>
      </x:c>
      <x:c r="K64" s="64" t="n">
        <x:f>ABS(I64)</x:f>
        <x:v>0.43960179122580456</x:v>
      </x:c>
      <x:c r="L64" s="48" t="str">
        <x:f>IF(AND(J64&lt;='测试说明'!$B$5,K64&lt;='测试说明'!$B$4),"PASS","FAIL")</x:f>
        <x:v>PASS</x:v>
      </x:c>
    </x:row>
    <x:row r="65" ht="19" customHeight="1">
      <x:c r="A65" s="48" t="str">
        <x:v>第三题</x:v>
      </x:c>
      <x:c r="B65" s="48" t="str">
        <x:v>Q3-05</x:v>
      </x:c>
      <x:c r="C65" s="48" t="n">
        <x:v>1</x:v>
      </x:c>
      <x:c r="D65" s="61" t="n">
        <x:v>40000</x:v>
      </x:c>
      <x:c r="E65" s="61" t="n">
        <x:v>40000</x:v>
      </x:c>
      <x:c r="F65" s="63" t="n">
        <x:f>E65-D65</x:f>
        <x:v>0</x:v>
      </x:c>
      <x:c r="G65" s="62" t="n">
        <x:v>51.32548430382916</x:v>
      </x:c>
      <x:c r="H65" s="62" t="n">
        <x:v>51.8</x:v>
      </x:c>
      <x:c r="I65" s="64" t="n">
        <x:f>H65-G65</x:f>
        <x:v>0.47451569617084033</x:v>
      </x:c>
      <x:c r="J65" s="64" t="n">
        <x:f>ABS(F65)</x:f>
        <x:v>0</x:v>
      </x:c>
      <x:c r="K65" s="64" t="n">
        <x:f>ABS(I65)</x:f>
        <x:v>0.47451569617084033</x:v>
      </x:c>
      <x:c r="L65" s="48" t="str">
        <x:f>IF(AND(J65&lt;='测试说明'!$B$5,K65&lt;='测试说明'!$B$4),"PASS","FAIL")</x:f>
        <x:v>PASS</x:v>
      </x:c>
    </x:row>
    <x:row r="66" ht="19" customHeight="1">
      <x:c r="A66" s="48" t="str">
        <x:v>第三题</x:v>
      </x:c>
      <x:c r="B66" s="48" t="str">
        <x:v>Q3-05</x:v>
      </x:c>
      <x:c r="C66" s="48" t="n">
        <x:v>3</x:v>
      </x:c>
      <x:c r="D66" s="61" t="n">
        <x:v>120000</x:v>
      </x:c>
      <x:c r="E66" s="61" t="n">
        <x:v>120001</x:v>
      </x:c>
      <x:c r="F66" s="63" t="n">
        <x:f>E66-D66</x:f>
        <x:v>1</x:v>
      </x:c>
      <x:c r="G66" s="62" t="n">
        <x:v>33.36156479748895</x:v>
      </x:c>
      <x:c r="H66" s="62" t="n">
        <x:v>33.6</x:v>
      </x:c>
      <x:c r="I66" s="64" t="n">
        <x:f>H66-G66</x:f>
        <x:v>0.23843520251104877</x:v>
      </x:c>
      <x:c r="J66" s="64" t="n">
        <x:f>ABS(F66)</x:f>
        <x:v>1</x:v>
      </x:c>
      <x:c r="K66" s="64" t="n">
        <x:f>ABS(I66)</x:f>
        <x:v>0.23843520251104877</x:v>
      </x:c>
      <x:c r="L66" s="48" t="str">
        <x:f>IF(AND(J66&lt;='测试说明'!$B$5,K66&lt;='测试说明'!$B$4),"PASS","FAIL")</x:f>
        <x:v>PASS</x:v>
      </x:c>
    </x:row>
    <x:row r="67" ht="19" customHeight="1">
      <x:c r="A67" s="48" t="str">
        <x:v>第三题</x:v>
      </x:c>
      <x:c r="B67" s="48" t="str">
        <x:v>Q3-05</x:v>
      </x:c>
      <x:c r="C67" s="48" t="n">
        <x:v>9</x:v>
      </x:c>
      <x:c r="D67" s="61" t="n">
        <x:v>360000</x:v>
      </x:c>
      <x:c r="E67" s="61" t="n">
        <x:v>360004</x:v>
      </x:c>
      <x:c r="F67" s="63" t="n">
        <x:f>E67-D67</x:f>
        <x:v>4</x:v>
      </x:c>
      <x:c r="G67" s="62" t="n">
        <x:v>43.62666165825478</x:v>
      </x:c>
      <x:c r="H67" s="62" t="n">
        <x:v>44.5</x:v>
      </x:c>
      <x:c r="I67" s="64" t="n">
        <x:f>H67-G67</x:f>
        <x:v>0.8733383417452174</x:v>
      </x:c>
      <x:c r="J67" s="64" t="n">
        <x:f>ABS(F67)</x:f>
        <x:v>4</x:v>
      </x:c>
      <x:c r="K67" s="64" t="n">
        <x:f>ABS(I67)</x:f>
        <x:v>0.8733383417452174</x:v>
      </x:c>
      <x:c r="L67" s="48" t="str">
        <x:f>IF(AND(J67&lt;='测试说明'!$B$5,K67&lt;='测试说明'!$B$4),"PASS","FAIL")</x:f>
        <x:v>PASS</x:v>
      </x:c>
    </x:row>
    <x:row r="68" ht="19" customHeight="1">
      <x:c r="A68" s="48" t="str">
        <x:v>第三题</x:v>
      </x:c>
      <x:c r="B68" s="48" t="str">
        <x:v>Q3-06</x:v>
      </x:c>
      <x:c r="C68" s="48" t="n">
        <x:v>1</x:v>
      </x:c>
      <x:c r="D68" s="61" t="n">
        <x:v>50000</x:v>
      </x:c>
      <x:c r="E68" s="61" t="n">
        <x:v>50001</x:v>
      </x:c>
      <x:c r="F68" s="63" t="n">
        <x:f>E68-D68</x:f>
        <x:v>1</x:v>
      </x:c>
      <x:c r="G68" s="62" t="n">
        <x:v>34.514120971586394</x:v>
      </x:c>
      <x:c r="H68" s="62" t="n">
        <x:v>34.8</x:v>
      </x:c>
      <x:c r="I68" s="64" t="n">
        <x:f>H68-G68</x:f>
        <x:v>0.28587902841360346</x:v>
      </x:c>
      <x:c r="J68" s="64" t="n">
        <x:f>ABS(F68)</x:f>
        <x:v>1</x:v>
      </x:c>
      <x:c r="K68" s="64" t="n">
        <x:f>ABS(I68)</x:f>
        <x:v>0.28587902841360346</x:v>
      </x:c>
      <x:c r="L68" s="48" t="str">
        <x:f>IF(AND(J68&lt;='测试说明'!$B$5,K68&lt;='测试说明'!$B$4),"PASS","FAIL")</x:f>
        <x:v>PASS</x:v>
      </x:c>
    </x:row>
    <x:row r="69" ht="19" customHeight="1">
      <x:c r="A69" s="48" t="str">
        <x:v>第三题</x:v>
      </x:c>
      <x:c r="B69" s="48" t="str">
        <x:v>Q3-06</x:v>
      </x:c>
      <x:c r="C69" s="48" t="n">
        <x:v>4</x:v>
      </x:c>
      <x:c r="D69" s="61" t="n">
        <x:v>200000</x:v>
      </x:c>
      <x:c r="E69" s="61" t="n">
        <x:v>200002</x:v>
      </x:c>
      <x:c r="F69" s="63" t="n">
        <x:f>E69-D69</x:f>
        <x:v>2</x:v>
      </x:c>
      <x:c r="G69" s="62" t="n">
        <x:v>17.257060485793197</x:v>
      </x:c>
      <x:c r="H69" s="62" t="n">
        <x:v>17.4</x:v>
      </x:c>
      <x:c r="I69" s="64" t="n">
        <x:f>H69-G69</x:f>
        <x:v>0.14293951420680173</x:v>
      </x:c>
      <x:c r="J69" s="64" t="n">
        <x:f>ABS(F69)</x:f>
        <x:v>2</x:v>
      </x:c>
      <x:c r="K69" s="64" t="n">
        <x:f>ABS(I69)</x:f>
        <x:v>0.14293951420680173</x:v>
      </x:c>
      <x:c r="L69" s="48" t="str">
        <x:f>IF(AND(J69&lt;='测试说明'!$B$5,K69&lt;='测试说明'!$B$4),"PASS","FAIL")</x:f>
        <x:v>PASS</x:v>
      </x:c>
    </x:row>
    <x:row r="70" ht="19" customHeight="1">
      <x:c r="A70" s="48" t="str">
        <x:v>第三题</x:v>
      </x:c>
      <x:c r="B70" s="48" t="str">
        <x:v>Q3-06</x:v>
      </x:c>
      <x:c r="C70" s="48" t="n">
        <x:v>10</x:v>
      </x:c>
      <x:c r="D70" s="61" t="n">
        <x:v>500000</x:v>
      </x:c>
      <x:c r="E70" s="61" t="n">
        <x:v>500000</x:v>
      </x:c>
      <x:c r="F70" s="63" t="n">
        <x:f>E70-D70</x:f>
        <x:v>0</x:v>
      </x:c>
      <x:c r="G70" s="62" t="n">
        <x:v>27.61129677726912</x:v>
      </x:c>
      <x:c r="H70" s="62" t="n">
        <x:v>28.1</x:v>
      </x:c>
      <x:c r="I70" s="64" t="n">
        <x:f>H70-G70</x:f>
        <x:v>0.48870322273088007</x:v>
      </x:c>
      <x:c r="J70" s="64" t="n">
        <x:f>ABS(F70)</x:f>
        <x:v>0</x:v>
      </x:c>
      <x:c r="K70" s="64" t="n">
        <x:f>ABS(I70)</x:f>
        <x:v>0.48870322273088007</x:v>
      </x:c>
      <x:c r="L70" s="48" t="str">
        <x:f>IF(AND(J70&lt;='测试说明'!$B$5,K70&lt;='测试说明'!$B$4),"PASS","FAIL")</x:f>
        <x:v>PASS</x:v>
      </x:c>
    </x:row>
    <x:row r="71" ht="19" customHeight="1">
      <x:c r="A71" s="48" t="str">
        <x:v>第三题</x:v>
      </x:c>
      <x:c r="B71" s="48" t="str">
        <x:v>Q3-07</x:v>
      </x:c>
      <x:c r="C71" s="48" t="n">
        <x:v>1</x:v>
      </x:c>
      <x:c r="D71" s="61" t="n">
        <x:v>62500</x:v>
      </x:c>
      <x:c r="E71" s="61" t="n">
        <x:v>62501</x:v>
      </x:c>
      <x:c r="F71" s="63" t="n">
        <x:f>E71-D71</x:f>
        <x:v>1</x:v>
      </x:c>
      <x:c r="G71" s="62" t="n">
        <x:v>10.956123493658316</x:v>
      </x:c>
      <x:c r="H71" s="62" t="n">
        <x:v>11</x:v>
      </x:c>
      <x:c r="I71" s="64" t="n">
        <x:f>H71-G71</x:f>
        <x:v>0.04387650634168416</x:v>
      </x:c>
      <x:c r="J71" s="64" t="n">
        <x:f>ABS(F71)</x:f>
        <x:v>1</x:v>
      </x:c>
      <x:c r="K71" s="64" t="n">
        <x:f>ABS(I71)</x:f>
        <x:v>0.04387650634168416</x:v>
      </x:c>
      <x:c r="L71" s="48" t="str">
        <x:f>IF(AND(J71&lt;='测试说明'!$B$5,K71&lt;='测试说明'!$B$4),"PASS","FAIL")</x:f>
        <x:v>PASS</x:v>
      </x:c>
    </x:row>
    <x:row r="72" ht="19" customHeight="1">
      <x:c r="A72" s="48" t="str">
        <x:v>第三题</x:v>
      </x:c>
      <x:c r="B72" s="48" t="str">
        <x:v>Q3-07</x:v>
      </x:c>
      <x:c r="C72" s="48" t="n">
        <x:v>2</x:v>
      </x:c>
      <x:c r="D72" s="61" t="n">
        <x:v>125000</x:v>
      </x:c>
      <x:c r="E72" s="61" t="n">
        <x:v>125001</x:v>
      </x:c>
      <x:c r="F72" s="63" t="n">
        <x:f>E72-D72</x:f>
        <x:v>1</x:v>
      </x:c>
      <x:c r="G72" s="62" t="n">
        <x:v>7.121480270877906</x:v>
      </x:c>
      <x:c r="H72" s="62" t="n">
        <x:v>7.2</x:v>
      </x:c>
      <x:c r="I72" s="64" t="n">
        <x:f>H72-G72</x:f>
        <x:v>0.07851972912209426</x:v>
      </x:c>
      <x:c r="J72" s="64" t="n">
        <x:f>ABS(F72)</x:f>
        <x:v>1</x:v>
      </x:c>
      <x:c r="K72" s="64" t="n">
        <x:f>ABS(I72)</x:f>
        <x:v>0.07851972912209426</x:v>
      </x:c>
      <x:c r="L72" s="48" t="str">
        <x:f>IF(AND(J72&lt;='测试说明'!$B$5,K72&lt;='测试说明'!$B$4),"PASS","FAIL")</x:f>
        <x:v>PASS</x:v>
      </x:c>
    </x:row>
    <x:row r="73" ht="19" customHeight="1">
      <x:c r="A73" s="48" t="str">
        <x:v>第三题</x:v>
      </x:c>
      <x:c r="B73" s="48" t="str">
        <x:v>Q3-07</x:v>
      </x:c>
      <x:c r="C73" s="48" t="n">
        <x:v>8</x:v>
      </x:c>
      <x:c r="D73" s="61" t="n">
        <x:v>500000</x:v>
      </x:c>
      <x:c r="E73" s="61" t="n">
        <x:v>500000</x:v>
      </x:c>
      <x:c r="F73" s="63" t="n">
        <x:f>E73-D73</x:f>
        <x:v>0</x:v>
      </x:c>
      <x:c r="G73" s="62" t="n">
        <x:v>9.312704969609568</x:v>
      </x:c>
      <x:c r="H73" s="62" t="n">
        <x:v>9.4</x:v>
      </x:c>
      <x:c r="I73" s="64" t="n">
        <x:f>H73-G73</x:f>
        <x:v>0.08729503039043252</x:v>
      </x:c>
      <x:c r="J73" s="64" t="n">
        <x:f>ABS(F73)</x:f>
        <x:v>0</x:v>
      </x:c>
      <x:c r="K73" s="64" t="n">
        <x:f>ABS(I73)</x:f>
        <x:v>0.08729503039043252</x:v>
      </x:c>
      <x:c r="L73" s="48" t="str">
        <x:f>IF(AND(J73&lt;='测试说明'!$B$5,K73&lt;='测试说明'!$B$4),"PASS","FAIL")</x:f>
        <x:v>PASS</x:v>
      </x:c>
    </x:row>
    <x:row r="74" ht="19" customHeight="1">
      <x:c r="A74" s="48" t="str">
        <x:v>第三题</x:v>
      </x:c>
      <x:c r="B74" s="48" t="str">
        <x:v>Q3-08</x:v>
      </x:c>
      <x:c r="C74" s="48" t="n">
        <x:v>1</x:v>
      </x:c>
      <x:c r="D74" s="61" t="n">
        <x:v>80000</x:v>
      </x:c>
      <x:c r="E74" s="61" t="n">
        <x:v>80001</x:v>
      </x:c>
      <x:c r="F74" s="63" t="n">
        <x:f>E74-D74</x:f>
        <x:v>1</x:v>
      </x:c>
      <x:c r="G74" s="62" t="n">
        <x:v>74.97592353521843</x:v>
      </x:c>
      <x:c r="H74" s="62" t="n">
        <x:v>75.3</x:v>
      </x:c>
      <x:c r="I74" s="64" t="n">
        <x:f>H74-G74</x:f>
        <x:v>0.3240764647815695</x:v>
      </x:c>
      <x:c r="J74" s="64" t="n">
        <x:f>ABS(F74)</x:f>
        <x:v>1</x:v>
      </x:c>
      <x:c r="K74" s="64" t="n">
        <x:f>ABS(I74)</x:f>
        <x:v>0.3240764647815695</x:v>
      </x:c>
      <x:c r="L74" s="48" t="str">
        <x:f>IF(AND(J74&lt;='测试说明'!$B$5,K74&lt;='测试说明'!$B$4),"PASS","FAIL")</x:f>
        <x:v>PASS</x:v>
      </x:c>
    </x:row>
    <x:row r="75" ht="19" customHeight="1">
      <x:c r="A75" s="48" t="str">
        <x:v>第三题</x:v>
      </x:c>
      <x:c r="B75" s="48" t="str">
        <x:v>Q3-08</x:v>
      </x:c>
      <x:c r="C75" s="48" t="n">
        <x:v>6</x:v>
      </x:c>
      <x:c r="D75" s="61" t="n">
        <x:v>480000</x:v>
      </x:c>
      <x:c r="E75" s="61" t="n">
        <x:v>480005</x:v>
      </x:c>
      <x:c r="F75" s="63" t="n">
        <x:f>E75-D75</x:f>
        <x:v>5</x:v>
      </x:c>
      <x:c r="G75" s="62" t="n">
        <x:v>52.4831464746529</x:v>
      </x:c>
      <x:c r="H75" s="62" t="n">
        <x:v>53.4</x:v>
      </x:c>
      <x:c r="I75" s="64" t="n">
        <x:f>H75-G75</x:f>
        <x:v>0.9168535253471006</x:v>
      </x:c>
      <x:c r="J75" s="64" t="n">
        <x:f>ABS(F75)</x:f>
        <x:v>5</x:v>
      </x:c>
      <x:c r="K75" s="64" t="n">
        <x:f>ABS(I75)</x:f>
        <x:v>0.9168535253471006</x:v>
      </x:c>
      <x:c r="L75" s="48" t="str">
        <x:f>IF(AND(J75&lt;='测试说明'!$B$5,K75&lt;='测试说明'!$B$4),"PASS","FAIL")</x:f>
        <x:v>PASS</x:v>
      </x:c>
    </x:row>
    <x:row r="76" ht="19" customHeight="1">
      <x:c r="A76" s="48" t="str">
        <x:v>第三题</x:v>
      </x:c>
      <x:c r="B76" s="48" t="str">
        <x:v>Q3-09</x:v>
      </x:c>
      <x:c r="C76" s="48" t="n">
        <x:v>1</x:v>
      </x:c>
      <x:c r="D76" s="61" t="n">
        <x:v>100000</x:v>
      </x:c>
      <x:c r="E76" s="61" t="n">
        <x:v>100001</x:v>
      </x:c>
      <x:c r="F76" s="63" t="n">
        <x:f>E76-D76</x:f>
        <x:v>1</x:v>
      </x:c>
      <x:c r="G76" s="62" t="n">
        <x:v>56.818368491113254</x:v>
      </x:c>
      <x:c r="H76" s="62" t="n">
        <x:v>57.2</x:v>
      </x:c>
      <x:c r="I76" s="64" t="n">
        <x:f>H76-G76</x:f>
        <x:v>0.38163150888674835</x:v>
      </x:c>
      <x:c r="J76" s="64" t="n">
        <x:f>ABS(F76)</x:f>
        <x:v>1</x:v>
      </x:c>
      <x:c r="K76" s="64" t="n">
        <x:f>ABS(I76)</x:f>
        <x:v>0.38163150888674835</x:v>
      </x:c>
      <x:c r="L76" s="48" t="str">
        <x:f>IF(AND(J76&lt;='测试说明'!$B$5,K76&lt;='测试说明'!$B$4),"PASS","FAIL")</x:f>
        <x:v>PASS</x:v>
      </x:c>
    </x:row>
    <x:row r="77" ht="19" customHeight="1">
      <x:c r="A77" s="48" t="str">
        <x:v>第三题</x:v>
      </x:c>
      <x:c r="B77" s="48" t="str">
        <x:v>Q3-09</x:v>
      </x:c>
      <x:c r="C77" s="48" t="n">
        <x:v>3</x:v>
      </x:c>
      <x:c r="D77" s="61" t="n">
        <x:v>300000</x:v>
      </x:c>
      <x:c r="E77" s="61" t="n">
        <x:v>300003</x:v>
      </x:c>
      <x:c r="F77" s="63" t="n">
        <x:f>E77-D77</x:f>
        <x:v>3</x:v>
      </x:c>
      <x:c r="G77" s="62" t="n">
        <x:v>31.25010267011229</x:v>
      </x:c>
      <x:c r="H77" s="62" t="n">
        <x:v>31.6</x:v>
      </x:c>
      <x:c r="I77" s="64" t="n">
        <x:f>H77-G77</x:f>
        <x:v>0.3498973298877104</x:v>
      </x:c>
      <x:c r="J77" s="64" t="n">
        <x:f>ABS(F77)</x:f>
        <x:v>3</x:v>
      </x:c>
      <x:c r="K77" s="64" t="n">
        <x:f>ABS(I77)</x:f>
        <x:v>0.3498973298877104</x:v>
      </x:c>
      <x:c r="L77" s="48" t="str">
        <x:f>IF(AND(J77&lt;='测试说明'!$B$5,K77&lt;='测试说明'!$B$4),"PASS","FAIL")</x:f>
        <x:v>PASS</x:v>
      </x:c>
    </x:row>
    <x:row r="78" ht="19" customHeight="1">
      <x:c r="A78" s="48" t="str">
        <x:v>第三题</x:v>
      </x:c>
      <x:c r="B78" s="48" t="str">
        <x:v>Q3-09</x:v>
      </x:c>
      <x:c r="C78" s="48" t="n">
        <x:v>5</x:v>
      </x:c>
      <x:c r="D78" s="61" t="n">
        <x:v>500000</x:v>
      </x:c>
      <x:c r="E78" s="61" t="n">
        <x:v>500000</x:v>
      </x:c>
      <x:c r="F78" s="63" t="n">
        <x:f>E78-D78</x:f>
        <x:v>0</x:v>
      </x:c>
      <x:c r="G78" s="62" t="n">
        <x:v>42.61377636833494</x:v>
      </x:c>
      <x:c r="H78" s="62" t="n">
        <x:v>43.3</x:v>
      </x:c>
      <x:c r="I78" s="64" t="n">
        <x:f>H78-G78</x:f>
        <x:v>0.6862236316650581</x:v>
      </x:c>
      <x:c r="J78" s="64" t="n">
        <x:f>ABS(F78)</x:f>
        <x:v>0</x:v>
      </x:c>
      <x:c r="K78" s="64" t="n">
        <x:f>ABS(I78)</x:f>
        <x:v>0.6862236316650581</x:v>
      </x:c>
      <x:c r="L78" s="48" t="str">
        <x:f>IF(AND(J78&lt;='测试说明'!$B$5,K78&lt;='测试说明'!$B$4),"PASS","FAIL")</x:f>
        <x:v>PASS</x:v>
      </x:c>
    </x:row>
    <x:row r="79" ht="19" customHeight="1">
      <x:c r="A79" s="48" t="str">
        <x:v>第三题</x:v>
      </x:c>
      <x:c r="B79" s="48" t="str">
        <x:v>Q3-10</x:v>
      </x:c>
      <x:c r="C79" s="48" t="n">
        <x:v>1</x:v>
      </x:c>
      <x:c r="D79" s="61" t="n">
        <x:v>125000</x:v>
      </x:c>
      <x:c r="E79" s="61" t="n">
        <x:v>125001</x:v>
      </x:c>
      <x:c r="F79" s="63" t="n">
        <x:f>E79-D79</x:f>
        <x:v>1</x:v>
      </x:c>
      <x:c r="G79" s="62" t="n">
        <x:v>14.45740220837293</x:v>
      </x:c>
      <x:c r="H79" s="62" t="n">
        <x:v>14.5</x:v>
      </x:c>
      <x:c r="I79" s="64" t="n">
        <x:f>H79-G79</x:f>
        <x:v>0.042597791627070336</x:v>
      </x:c>
      <x:c r="J79" s="64" t="n">
        <x:f>ABS(F79)</x:f>
        <x:v>1</x:v>
      </x:c>
      <x:c r="K79" s="64" t="n">
        <x:f>ABS(I79)</x:f>
        <x:v>0.042597791627070336</x:v>
      </x:c>
      <x:c r="L79" s="48" t="str">
        <x:f>IF(AND(J79&lt;='测试说明'!$B$5,K79&lt;='测试说明'!$B$4),"PASS","FAIL")</x:f>
        <x:v>PASS</x:v>
      </x:c>
    </x:row>
    <x:row r="80" ht="19" customHeight="1">
      <x:c r="A80" s="48" t="str">
        <x:v>第三题</x:v>
      </x:c>
      <x:c r="B80" s="48" t="str">
        <x:v>Q3-10</x:v>
      </x:c>
      <x:c r="C80" s="48" t="n">
        <x:v>4</x:v>
      </x:c>
      <x:c r="D80" s="61" t="n">
        <x:v>500000</x:v>
      </x:c>
      <x:c r="E80" s="61" t="n">
        <x:v>500000</x:v>
      </x:c>
      <x:c r="F80" s="63" t="n">
        <x:f>E80-D80</x:f>
        <x:v>0</x:v>
      </x:c>
      <x:c r="G80" s="62" t="n">
        <x:v>11.565921766698343</x:v>
      </x:c>
      <x:c r="H80" s="62" t="n">
        <x:v>11.7</x:v>
      </x:c>
      <x:c r="I80" s="64" t="n">
        <x:f>H80-G80</x:f>
        <x:v>0.1340782333016559</x:v>
      </x:c>
      <x:c r="J80" s="64" t="n">
        <x:f>ABS(F80)</x:f>
        <x:v>0</x:v>
      </x:c>
      <x:c r="K80" s="64" t="n">
        <x:f>ABS(I80)</x:f>
        <x:v>0.1340782333016559</x:v>
      </x:c>
      <x:c r="L80" s="48" t="str">
        <x:f>IF(AND(J80&lt;='测试说明'!$B$5,K80&lt;='测试说明'!$B$4),"PASS","FAIL")</x:f>
        <x:v>PASS</x:v>
      </x:c>
    </x:row>
  </x:sheetData>
  <x:conditionalFormatting sqref="L2:L80">
    <x:cfRule type="containsText" dxfId="0" priority="1" operator="containsText" text="PASS"/>
    <x:cfRule type="containsText" dxfId="1" priority="2" operator="containsText" text="FAIL"/>
  </x:conditionalFormatting>
  <x:conditionalFormatting sqref="J2:J80">
    <x:cfRule type="cellIs" dxfId="2" priority="3" operator="greaterThan">
      <x:formula>1000</x:formula>
    </x:cfRule>
  </x:conditionalFormatting>
  <x:conditionalFormatting sqref="K2:K80">
    <x:cfRule type="cellIs" dxfId="3" priority="4" operator="greaterThan">
      <x:formula>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45" hidden="0" customWidth="1"/>
    <x:col min="3" max="3" width="29.3799991607666" hidden="0" customWidth="1"/>
    <x:col min="4" max="4" width="33.130001068115234" hidden="0" customWidth="1"/>
  </x:cols>
  <x:sheetData>
    <x:row r="1" ht="34" customHeight="1">
      <x:c r="A1" s="33" t="str">
        <x:v>STM32G474 三道题完整实机测试说明</x:v>
      </x:c>
      <x:c r="B1" s="33"/>
      <x:c r="C1" s="33"/>
      <x:c r="D1" s="33"/>
    </x:row>
    <x:row r="2">
      <x:c r="A2" s="48"/>
      <x:c r="B2" s="48"/>
      <x:c r="C2" s="48"/>
      <x:c r="D2" s="48"/>
    </x:row>
    <x:row r="3" ht="42" customHeight="1">
      <x:c r="A3" s="12" t="str">
        <x:v>参数</x:v>
      </x:c>
      <x:c r="B3" s="13" t="str">
        <x:v>值</x:v>
      </x:c>
      <x:c r="C3" s="48"/>
      <x:c r="D3" s="48"/>
    </x:row>
    <x:row r="4">
      <x:c r="A4" s="49" t="str">
        <x:v>电压绝对误差限(mV)</x:v>
      </x:c>
      <x:c r="B4" s="50" t="n">
        <x:v>5</x:v>
      </x:c>
      <x:c r="C4" s="48"/>
      <x:c r="D4" s="48"/>
    </x:row>
    <x:row r="5">
      <x:c r="A5" s="49" t="str">
        <x:v>频率绝对误差限(Hz)</x:v>
      </x:c>
      <x:c r="B5" s="50" t="n">
        <x:v>1000</x:v>
      </x:c>
      <x:c r="C5" s="48"/>
      <x:c r="D5" s="48"/>
    </x:row>
    <x:row r="6">
      <x:c r="A6" s="49" t="str">
        <x:v>第三题响应时间限(s)</x:v>
      </x:c>
      <x:c r="B6" s="50" t="n">
        <x:v>2</x:v>
      </x:c>
      <x:c r="C6" s="48"/>
      <x:c r="D6" s="48"/>
    </x:row>
    <x:row r="7">
      <x:c r="A7" s="49" t="str">
        <x:v>串口</x:v>
      </x:c>
      <x:c r="B7" s="50" t="str">
        <x:v>COM14, 460800 bit/s</x:v>
      </x:c>
      <x:c r="C7" s="48"/>
      <x:c r="D7" s="48"/>
    </x:row>
    <x:row r="8">
      <x:c r="A8" s="51" t="str">
        <x:v>信号发生器</x:v>
      </x:c>
      <x:c r="B8" s="52" t="str">
        <x:v>UNI-T Technologies,UTG900E,AWG1225380174,3.06</x:v>
      </x:c>
      <x:c r="C8" s="48"/>
      <x:c r="D8" s="48"/>
    </x:row>
    <x:row r="9">
      <x:c r="A9" s="48"/>
      <x:c r="B9" s="48"/>
      <x:c r="C9" s="48"/>
      <x:c r="D9" s="48"/>
    </x:row>
    <x:row r="10" ht="42" customHeight="1">
      <x:c r="A10" s="12" t="str">
        <x:v>题目</x:v>
      </x:c>
      <x:c r="B10" s="17" t="str">
        <x:v>输入定义</x:v>
      </x:c>
      <x:c r="C10" s="17" t="str">
        <x:v>覆盖范围</x:v>
      </x:c>
      <x:c r="D10" s="13" t="str">
        <x:v>采集口径</x:v>
      </x:c>
    </x:row>
    <x:row r="11" ht="44" customHeight="1">
      <x:c r="A11" s="49" t="str">
        <x:v>第一题</x:v>
      </x:c>
      <x:c r="B11" s="48" t="str">
        <x:v>ua：基波 + 1/2 个谐波，零初相、零偏移</x:v>
      </x:c>
      <x:c r="C11" s="48" t="str">
        <x:v>10-200 kHz，100-250 mVpp</x:v>
      </x:c>
      <x:c r="D11" s="50" t="str">
        <x:v>每组5帧稳定值；固定等待1.5 s后采集</x:v>
      </x:c>
    </x:row>
    <x:row r="12" ht="44" customHeight="1">
      <x:c r="A12" s="49" t="str">
        <x:v>第二题</x:v>
      </x:c>
      <x:c r="B12" s="48" t="str">
        <x:v>ub：基波 + 1/2 个谐波，零初相、零偏移</x:v>
      </x:c>
      <x:c r="C12" s="48" t="str">
        <x:v>10-500 kHz，50-250 mVpp</x:v>
      </x:c>
      <x:c r="D12" s="50" t="str">
        <x:v>每组5帧稳定值；固定等待1.5 s后采集</x:v>
      </x:c>
    </x:row>
    <x:row r="13" ht="44" customHeight="1">
      <x:c r="A13" s="51" t="str">
        <x:v>第三题</x:v>
      </x:c>
      <x:c r="B13" s="53" t="str">
        <x:v>u=ub+uJ；uJ为200 mVpp单频干扰</x:v>
      </x:c>
      <x:c r="C13" s="53" t="str">
        <x:v>ub同第二题；uJ=1.0-2.0 MHz</x:v>
      </x:c>
      <x:c r="D13" s="52" t="str">
        <x:v>每组5帧；从配置完成后开始计时</x:v>
      </x:c>
    </x:row>
    <x:row r="14">
      <x:c r="A14" s="48"/>
      <x:c r="B14" s="48"/>
      <x:c r="C14" s="48"/>
      <x:c r="D14" s="48"/>
    </x:row>
    <x:row r="15">
      <x:c r="A15" s="54" t="str">
        <x:v>测试日期</x:v>
      </x:c>
      <x:c r="B15" s="55" t="str">
        <x:v>2026-08-01 03:11:03</x:v>
      </x:c>
      <x:c r="C15" s="48"/>
      <x:c r="D15" s="48"/>
    </x:row>
    <x:row r="16">
      <x:c r="A16" s="56" t="str">
        <x:v>分支</x:v>
      </x:c>
      <x:c r="B16" s="50" t="str">
        <x:v>hzx</x:v>
      </x:c>
      <x:c r="C16" s="48"/>
      <x:c r="D16" s="48"/>
    </x:row>
    <x:row r="17">
      <x:c r="A17" s="56" t="str">
        <x:v>基线提交</x:v>
      </x:c>
      <x:c r="B17" s="50" t="str">
        <x:v>826974c5035eee41dfe051d622a738d304e1116c</x:v>
      </x:c>
      <x:c r="C17" s="48"/>
      <x:c r="D17" s="48"/>
    </x:row>
    <x:row r="18">
      <x:c r="A18" s="56" t="str">
        <x:v>测试期间修改固件</x:v>
      </x:c>
      <x:c r="B18" s="50" t="str">
        <x:v>否</x:v>
      </x:c>
      <x:c r="C18" s="48"/>
      <x:c r="D18" s="48"/>
    </x:row>
    <x:row r="19">
      <x:c r="A19" s="56" t="str">
        <x:v>测试期间重新烧录</x:v>
      </x:c>
      <x:c r="B19" s="50" t="str">
        <x:v>否</x:v>
      </x:c>
      <x:c r="C19" s="48"/>
      <x:c r="D19" s="48"/>
    </x:row>
    <x:row r="20">
      <x:c r="A20" s="56" t="str">
        <x:v>原始用例数</x:v>
      </x:c>
      <x:c r="B20" s="50" t="n">
        <x:v>30</x:v>
      </x:c>
      <x:c r="C20" s="48"/>
      <x:c r="D20" s="48"/>
    </x:row>
    <x:row r="21">
      <x:c r="A21" s="56" t="str">
        <x:v>原始分量记录数</x:v>
      </x:c>
      <x:c r="B21" s="50" t="n">
        <x:v>79</x:v>
      </x:c>
      <x:c r="C21" s="48"/>
      <x:c r="D21" s="48"/>
    </x:row>
    <x:row r="22">
      <x:c r="A22" s="56" t="str">
        <x:v>Q1/Q2响应说明</x:v>
      </x:c>
      <x:c r="B22" s="50" t="str">
        <x:v>只证明1.5 s观察点已稳定，未记录最早收敛时刻</x:v>
      </x:c>
      <x:c r="C22" s="48"/>
      <x:c r="D22" s="48"/>
    </x:row>
    <x:row r="23">
      <x:c r="A23" s="57" t="str">
        <x:v>最终发生器状态</x:v>
      </x:c>
      <x:c r="B23" s="52" t="str">
        <x:v>CH1 OFF；CH2 DC 0 V、50 ohm、ON（已回读确认）</x:v>
      </x:c>
      <x:c r="C23" s="48"/>
      <x:c r="D23" s="48"/>
    </x:row>
  </x:sheetData>
  <x:mergeCells>
    <x:mergeCell ref="A1:D1"/>
  </x:mergeCells>
  <x:pageMargins left="0.7" right="0.7" top="0.75" bottom="0.75" header="0.3" footer="0.3"/>
</x:worksheet>
</file>