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b0a95719e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6fb3840cd4ed4764"/>
    <x:sheet xmlns:r="http://schemas.openxmlformats.org/officeDocument/2006/relationships" name="逐点数据" sheetId="2" r:id="R046db2cfcb8d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2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E34"/>
      <x:name val="Carlito"/>
    </x:font>
    <x:font>
      <x:sz val="11"/>
      <x:color rgb="FF1F2937"/>
      <x:name val="Carlito"/>
    </x:font>
    <x:font>
      <x:b/>
      <x:sz val="11"/>
      <x:color rgb="FF166534"/>
      <x:name val="Carlito"/>
    </x:font>
    <x:font>
      <x:b/>
      <x:sz val="11"/>
      <x:color rgb="FFFFFFFF"/>
      <x:name val="Carlito"/>
    </x:font>
    <x:font>
      <x:b/>
      <x:sz val="11"/>
      <x:color rgb="FF23483E"/>
      <x:name val="Carlito"/>
    </x:font>
    <x:font>
      <x:b/>
      <x:sz val="11"/>
      <x:color rgb="FF174A3B"/>
      <x:name val="Carlito"/>
    </x:font>
    <x:font>
      <x:i/>
      <x:sz val="9"/>
      <x:color rgb="FF64748B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b/>
      <x:sz val="11"/>
      <x:color rgb="FF173E34"/>
      <x:name val="Microsoft YaHei"/>
    </x:font>
    <x:font>
      <x:sz val="11"/>
      <x:color rgb="FF1F2937"/>
      <x:name val="Microsoft YaHei"/>
    </x:font>
    <x:font>
      <x:b/>
      <x:sz val="11"/>
      <x:color rgb="FFFFFFFF"/>
      <x:name val="Microsoft YaHei"/>
    </x:font>
    <x:font>
      <x:b/>
      <x:sz val="11"/>
      <x:color rgb="FF23483E"/>
      <x:name val="Microsoft YaHei"/>
    </x:font>
    <x:font>
      <x:b/>
      <x:sz val="11"/>
      <x:color rgb="FF166534"/>
      <x:name val="Microsoft YaHei"/>
    </x:font>
    <x:font>
      <x:b/>
      <x:sz val="11"/>
      <x:color rgb="FF174A3B"/>
      <x:name val="Microsoft YaHei"/>
    </x:font>
    <x:font>
      <x:i/>
      <x:sz val="9"/>
      <x:color rgb="FF64748B"/>
      <x:name val="Microsoft YaHei"/>
    </x:font>
    <x:font>
      <x:b/>
      <x:sz val="16"/>
      <x:color rgb="FFFFFFFF"/>
      <x:name val="Carlito"/>
    </x:font>
    <x:font>
      <x:sz val="11"/>
      <x:color rgb="FF285F50"/>
      <x:name val="Carlito"/>
    </x:font>
    <x:font>
      <x:b/>
      <x:sz val="9"/>
      <x:color rgb="FFFFFFFF"/>
      <x:name val="Carlito"/>
    </x:font>
    <x:font>
      <x:sz val="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4A3B"/>
      </x:patternFill>
    </x:fill>
    <x:fill>
      <x:patternFill patternType="solid">
        <x:fgColor rgb="FFE9F2EF"/>
      </x:patternFill>
    </x:fill>
    <x:fill>
      <x:patternFill patternType="solid">
        <x:fgColor rgb="FFF7FAF9"/>
      </x:patternFill>
    </x:fill>
    <x:fill>
      <x:patternFill patternType="solid">
        <x:fgColor rgb="FFDCFCE7"/>
      </x:patternFill>
    </x:fill>
    <x:fill>
      <x:patternFill patternType="solid">
        <x:fgColor rgb="FF285F50"/>
      </x:patternFill>
    </x:fill>
    <x:fill>
      <x:patternFill patternType="solid">
        <x:fgColor rgb="FFF0F5F3"/>
      </x:patternFill>
    </x:fill>
    <x:fill>
      <x:patternFill patternType="solid">
        <x:fgColor rgb="FFEDF7F2"/>
      </x:patternFill>
    </x:fill>
  </x:fills>
  <x:borders count="7">
    <x:border/>
    <x:border>
      <x:left style="thin">
        <x:color rgb="FF9DB7AE"/>
      </x:left>
      <x:top style="thin">
        <x:color rgb="FF9DB7AE"/>
      </x:top>
    </x:border>
    <x:border>
      <x:right style="thin">
        <x:color rgb="FF9DB7AE"/>
      </x:right>
      <x:top style="thin">
        <x:color rgb="FF9DB7AE"/>
      </x:top>
    </x:border>
    <x:border>
      <x:left style="thin">
        <x:color rgb="FF9DB7AE"/>
      </x:left>
    </x:border>
    <x:border>
      <x:right style="thin">
        <x:color rgb="FF9DB7AE"/>
      </x:right>
    </x:border>
    <x:border>
      <x:left style="thin">
        <x:color rgb="FF9DB7AE"/>
      </x:left>
      <x:bottom style="thin">
        <x:color rgb="FF9DB7AE"/>
      </x:bottom>
    </x:border>
    <x:border>
      <x:right style="thin">
        <x:color rgb="FF9DB7AE"/>
      </x:right>
      <x:bottom style="thin">
        <x:color rgb="FF9DB7AE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/>
    <x:xf numFmtId="0" fontId="3" fillId="4" borderId="2" xfId="0" applyNumberFormat="1" applyFont="1" applyFill="1" applyBorder="1" applyAlignment="1">
      <x:alignment horizontal="right"/>
    </x:xf>
    <x:xf numFmtId="0" fontId="3" fillId="4" borderId="4" xfId="0" applyNumberFormat="1" applyFont="1" applyFill="1" applyBorder="1" applyAlignment="1">
      <x:alignment horizontal="right"/>
    </x:xf>
    <x:xf numFmtId="0" fontId="3" fillId="4" borderId="6" xfId="0" applyNumberFormat="1" applyFont="1" applyFill="1" applyBorder="1" applyAlignment="1">
      <x:alignment horizontal="right"/>
    </x:xf>
    <x:xf numFmtId="200" fontId="3" fillId="4" borderId="4" xfId="0" applyNumberFormat="1" applyFont="1" applyFill="1" applyBorder="1" applyAlignment="1">
      <x:alignment horizontal="right"/>
    </x:xf>
    <x:xf numFmtId="201" fontId="3" fillId="4" borderId="4" xfId="0" applyNumberFormat="1" applyFont="1" applyFill="1" applyBorder="1" applyAlignment="1">
      <x:alignment horizontal="right"/>
    </x:xf>
    <x:xf numFmtId="0" fontId="3" fillId="5" borderId="6" xfId="0" applyNumberFormat="1" applyFont="1" applyFill="1" applyBorder="1" applyAlignment="1">
      <x:alignment horizontal="right"/>
    </x:xf>
    <x:xf numFmtId="0" fontId="4" fillId="5" borderId="6" xfId="0" applyNumberFormat="1" applyFont="1" applyFill="1" applyBorder="1" applyAlignment="1">
      <x:alignment horizontal="right"/>
    </x:xf>
    <x:xf numFmtId="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0" fontId="0" fillId="0" borderId="0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/>
    <x:xf numFmtId="200" fontId="0" fillId="0" borderId="4" xfId="0" applyNumberFormat="1" applyFont="1" applyFill="1" applyBorder="1"/>
    <x:xf numFmtId="0" fontId="6" fillId="7" borderId="5" xfId="0" applyNumberFormat="1" applyFont="1" applyFill="1" applyBorder="1"/>
    <x:xf numFmtId="200" fontId="0" fillId="0" borderId="6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/>
    <x:xf numFmtId="0" fontId="12" fillId="4" borderId="2" xfId="0" applyNumberFormat="1" applyFont="1" applyFill="1" applyBorder="1" applyAlignment="1">
      <x:alignment horizontal="right"/>
    </x:xf>
    <x:xf numFmtId="0" fontId="13" fillId="6" borderId="1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/>
    <x:xf numFmtId="0" fontId="12" fillId="4" borderId="4" xfId="0" applyNumberFormat="1" applyFont="1" applyFill="1" applyBorder="1" applyAlignment="1">
      <x:alignment horizontal="right"/>
    </x:xf>
    <x:xf numFmtId="0" fontId="14" fillId="7" borderId="3" xfId="0" applyNumberFormat="1" applyFont="1" applyFill="1" applyBorder="1"/>
    <x:xf numFmtId="200" fontId="10" fillId="0" borderId="4" xfId="0" applyNumberFormat="1" applyFont="1" applyFill="1" applyBorder="1"/>
    <x:xf numFmtId="200" fontId="12" fillId="4" borderId="4" xfId="0" applyNumberFormat="1" applyFont="1" applyFill="1" applyBorder="1" applyAlignment="1">
      <x:alignment horizontal="right"/>
    </x:xf>
    <x:xf numFmtId="0" fontId="14" fillId="7" borderId="5" xfId="0" applyNumberFormat="1" applyFont="1" applyFill="1" applyBorder="1"/>
    <x:xf numFmtId="200" fontId="10" fillId="0" borderId="6" xfId="0" applyNumberFormat="1" applyFont="1" applyFill="1" applyBorder="1"/>
    <x:xf numFmtId="201" fontId="12" fillId="4" borderId="4" xfId="0" applyNumberFormat="1" applyFont="1" applyFill="1" applyBorder="1" applyAlignment="1">
      <x:alignment horizontal="right"/>
    </x:xf>
    <x:xf numFmtId="0" fontId="11" fillId="3" borderId="5" xfId="0" applyNumberFormat="1" applyFont="1" applyFill="1" applyBorder="1"/>
    <x:xf numFmtId="0" fontId="15" fillId="5" borderId="6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/>
    <x:xf numFmtId="0" fontId="16" fillId="8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/>
    <x:xf numFmtId="0" fontId="20" fillId="6" borderId="0" xfId="0" applyNumberFormat="1" applyFont="1" applyFill="1" applyBorder="1"/>
    <x:xf numFmtId="0" fontId="20" fillId="6" borderId="0" xfId="0" applyNumberFormat="1" applyFont="1" applyFill="1" applyBorder="1" applyAlignment="1">
      <x:alignment wrapText="1"/>
    </x:xf>
    <x:xf numFmtId="0" fontId="20" fillId="6" borderId="0" xfId="0" applyNumberFormat="1" applyFont="1" applyFill="1" applyBorder="1" applyAlignment="1">
      <x:alignment horizontal="center" wrapText="1"/>
    </x:xf>
    <x:xf numFmtId="0" fontId="20" fillId="6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vertical="center"/>
    </x:xf>
    <x:xf numFmtId="201" fontId="21" fillId="0" borderId="0" xfId="0" applyNumberFormat="1" applyFont="1" applyFill="1" applyBorder="1" applyAlignment="1">
      <x:alignment vertical="center"/>
    </x:xf>
    <x:xf numFmtId="200" fontId="2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cbcb8da864b00" /><Relationship Type="http://schemas.openxmlformats.org/officeDocument/2006/relationships/theme" Target="/xl/theme/theme1.xml" Id="R115432d3d2c34742" /><Relationship Type="http://schemas.openxmlformats.org/officeDocument/2006/relationships/sharedStrings" Target="/xl/sharedStrings.xml" Id="Ra1edc47e253c48b3" /><Relationship Type="http://schemas.openxmlformats.org/officeDocument/2006/relationships/worksheet" Target="/xl/worksheets/sheet1.xml" Id="R6fb3840cd4ed4764" /><Relationship Type="http://schemas.openxmlformats.org/officeDocument/2006/relationships/worksheet" Target="/xl/worksheets/sheet2.xml" Id="R046db2cfcb8d4d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2d391c966644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1-20 MHz 干扰下的电压误差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Upp 绝对误差 (mV)</c:v>
          </c:tx>
          <c:marker>
            <c:symbol val="none"/>
          </c:marker>
          <c:cat>
            <c:strRef>
              <c:f>'汇总'!$A$16:$A$35</c:f>
              <c:strCache>
                <c:ptCount val="0"/>
              </c:strCache>
            </c:strRef>
          </c:cat>
          <c:val>
            <c:numRef>
              <c:f>'汇总'!$B$16:$B$35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最大分量误差 (mV)</c:v>
          </c:tx>
          <c:marker>
            <c:symbol val="none"/>
          </c:marker>
          <c:cat>
            <c:strRef>
              <c:f>'汇总'!$A$16:$A$35</c:f>
              <c:strCache>
                <c:ptCount val="0"/>
              </c:strCache>
            </c:strRef>
          </c:cat>
          <c:val>
            <c:numRef>
              <c:f>'汇总'!$C$16:$C$35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5 mV 限值</c:v>
          </c:tx>
          <c:marker>
            <c:symbol val="none"/>
          </c:marker>
          <c:cat>
            <c:strRef>
              <c:f>'汇总'!$A$16:$A$35</c:f>
              <c:strCache>
                <c:ptCount val="0"/>
              </c:strCache>
            </c:strRef>
          </c:cat>
          <c:val>
            <c:numRef>
              <c:f>'汇总'!$D$16:$D$35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5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2d391c966644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ammerSweepTable" displayName="JammerSweepTable" ref="A4:AE24" headerRowCount="1" totalsRowCount="0" totalsRowShown="0">
  <x:autoFilter ref="A4:AE24"/>
  <x:tableColumns count="31">
    <x:tableColumn id="1" name="序号"/>
    <x:tableColumn id="2" name="干扰频率_MHz"/>
    <x:tableColumn id="3" name="干扰Upp_mV"/>
    <x:tableColumn id="4" name="发生器总Upp_mV"/>
    <x:tableColumn id="5" name="ub_Upp实际_mV"/>
    <x:tableColumn id="6" name="ub_Upp检测_mV"/>
    <x:tableColumn id="7" name="Upp误差_mV"/>
    <x:tableColumn id="8" name="Upp绝对误差_mV"/>
    <x:tableColumn id="9" name="RMS实际_mV"/>
    <x:tableColumn id="10" name="RMS检测_mV"/>
    <x:tableColumn id="11" name="RMS误差_mV"/>
    <x:tableColumn id="12" name="RMS绝对误差_mV"/>
    <x:tableColumn id="13" name="f1实际_Hz"/>
    <x:tableColumn id="14" name="f1检测_Hz"/>
    <x:tableColumn id="15" name="f1误差_Hz"/>
    <x:tableColumn id="16" name="A1实际峰值_mV"/>
    <x:tableColumn id="17" name="A1检测峰值_mV"/>
    <x:tableColumn id="18" name="A1误差_mV"/>
    <x:tableColumn id="19" name="f2实际_Hz"/>
    <x:tableColumn id="20" name="f2检测_Hz"/>
    <x:tableColumn id="21" name="f2误差_Hz"/>
    <x:tableColumn id="22" name="A2实际峰值_mV"/>
    <x:tableColumn id="23" name="A2检测峰值_mV"/>
    <x:tableColumn id="24" name="A2误差_mV"/>
    <x:tableColumn id="25" name="检出分量数"/>
    <x:tableColumn id="26" name="响应时间_s"/>
    <x:tableColumn id="27" name="信号有效"/>
    <x:tableColumn id="28" name="DMA溢出"/>
    <x:tableColumn id="29" name="最大分量误差_mV"/>
    <x:tableColumn id="30" name="最大频率误差_Hz"/>
    <x:tableColumn id="31" name="结果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eb4aa94a3a4e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f6a4ddea114e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0" hidden="0" customWidth="1"/>
    <x:col min="5" max="5" width="14" hidden="0" customWidth="1"/>
    <x:col min="6" max="6" width="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49" t="str">
        <x:v>STM32G474 第三问 1-20 MHz 高频干扰扫频实测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>
      <x:c r="A4" s="51" t="str">
        <x:v>测试点数</x:v>
      </x:c>
      <x:c r="B4" s="52" t="n">
        <x:f>COUNTA('逐点数据'!A5:A24)</x:f>
        <x:v>20</x:v>
      </x:c>
      <x:c r="C4" s="50"/>
      <x:c r="D4" s="53" t="str">
        <x:v>测试参数</x:v>
      </x:c>
      <x:c r="E4" s="54" t="str">
        <x:v>设定值</x:v>
      </x:c>
      <x:c r="F4" s="50"/>
      <x:c r="G4" s="50"/>
      <x:c r="H4" s="50"/>
      <x:c r="I4" s="50"/>
      <x:c r="J4" s="50"/>
      <x:c r="K4" s="50"/>
      <x:c r="L4" s="50"/>
      <x:c r="M4" s="50"/>
      <x:c r="N4" s="50"/>
      <x:c r="O4" s="50"/>
    </x:row>
    <x:row r="5">
      <x:c r="A5" s="55" t="str">
        <x:v>通过点数</x:v>
      </x:c>
      <x:c r="B5" s="56" t="n">
        <x:f>COUNTIF('逐点数据'!AE5:AE24,"PASS")</x:f>
        <x:v>20</x:v>
      </x:c>
      <x:c r="C5" s="50"/>
      <x:c r="D5" s="57" t="str">
        <x:v>ub 基频 (kHz)</x:v>
      </x:c>
      <x:c r="E5" s="58" t="n">
        <x:v>250</x:v>
      </x:c>
      <x:c r="F5" s="50"/>
      <x:c r="G5" s="50"/>
      <x:c r="H5" s="50"/>
      <x:c r="I5" s="50"/>
      <x:c r="J5" s="50"/>
      <x:c r="K5" s="50"/>
      <x:c r="L5" s="50"/>
      <x:c r="M5" s="50"/>
      <x:c r="N5" s="50"/>
      <x:c r="O5" s="50"/>
    </x:row>
    <x:row r="6">
      <x:c r="A6" s="55" t="str">
        <x:v>最大 Upp 绝对误差 (mV)</x:v>
      </x:c>
      <x:c r="B6" s="59" t="n">
        <x:f>MAX('逐点数据'!H5:H24)</x:f>
        <x:v>2.5</x:v>
      </x:c>
      <x:c r="C6" s="50"/>
      <x:c r="D6" s="57" t="str">
        <x:v>ub Upp (mV)</x:v>
      </x:c>
      <x:c r="E6" s="58" t="n">
        <x:v>250</x:v>
      </x:c>
      <x:c r="F6" s="50"/>
      <x:c r="G6" s="50"/>
      <x:c r="H6" s="50"/>
      <x:c r="I6" s="50"/>
      <x:c r="J6" s="50"/>
      <x:c r="K6" s="50"/>
      <x:c r="L6" s="50"/>
      <x:c r="M6" s="50"/>
      <x:c r="N6" s="50"/>
      <x:c r="O6" s="50"/>
    </x:row>
    <x:row r="7">
      <x:c r="A7" s="55" t="str">
        <x:v>最大 RMS 绝对误差 (mV)</x:v>
      </x:c>
      <x:c r="B7" s="59" t="n">
        <x:f>MAX('逐点数据'!L5:L24)</x:f>
        <x:v>0.713424686925265</x:v>
      </x:c>
      <x:c r="C7" s="50"/>
      <x:c r="D7" s="57" t="str">
        <x:v>干扰 Upp (mV)</x:v>
      </x:c>
      <x:c r="E7" s="58" t="n">
        <x:v>200</x:v>
      </x:c>
      <x:c r="F7" s="50"/>
      <x:c r="G7" s="50"/>
      <x:c r="H7" s="50"/>
      <x:c r="I7" s="50"/>
      <x:c r="J7" s="50"/>
      <x:c r="K7" s="50"/>
      <x:c r="L7" s="50"/>
      <x:c r="M7" s="50"/>
      <x:c r="N7" s="50"/>
      <x:c r="O7" s="50"/>
    </x:row>
    <x:row r="8">
      <x:c r="A8" s="55" t="str">
        <x:v>最大分量幅值误差 (mV)</x:v>
      </x:c>
      <x:c r="B8" s="59" t="n">
        <x:f>MAX('逐点数据'!AC5:AC24)</x:f>
        <x:v>0.7400242555963246</x:v>
      </x:c>
      <x:c r="C8" s="50"/>
      <x:c r="D8" s="57" t="str">
        <x:v>电压误差限 (mV)</x:v>
      </x:c>
      <x:c r="E8" s="58" t="n">
        <x:v>5</x:v>
      </x:c>
      <x:c r="F8" s="50"/>
      <x:c r="G8" s="50"/>
      <x:c r="H8" s="50"/>
      <x:c r="I8" s="50"/>
      <x:c r="J8" s="50"/>
      <x:c r="K8" s="50"/>
      <x:c r="L8" s="50"/>
      <x:c r="M8" s="50"/>
      <x:c r="N8" s="50"/>
      <x:c r="O8" s="50"/>
    </x:row>
    <x:row r="9">
      <x:c r="A9" s="55" t="str">
        <x:v>最大频率误差 (Hz)</x:v>
      </x:c>
      <x:c r="B9" s="59" t="n">
        <x:f>MAX('逐点数据'!AD5:AD24)</x:f>
        <x:v>3</x:v>
      </x:c>
      <x:c r="C9" s="50"/>
      <x:c r="D9" s="57" t="str">
        <x:v>频率误差限 (Hz)</x:v>
      </x:c>
      <x:c r="E9" s="58" t="n">
        <x:v>1000</x:v>
      </x:c>
      <x:c r="F9" s="50"/>
      <x:c r="G9" s="50"/>
      <x:c r="H9" s="50"/>
      <x:c r="I9" s="50"/>
      <x:c r="J9" s="50"/>
      <x:c r="K9" s="50"/>
      <x:c r="L9" s="50"/>
      <x:c r="M9" s="50"/>
      <x:c r="N9" s="50"/>
      <x:c r="O9" s="50"/>
    </x:row>
    <x:row r="10">
      <x:c r="A10" s="55" t="str">
        <x:v>最长稳定时间 (s)</x:v>
      </x:c>
      <x:c r="B10" s="59" t="n">
        <x:f>MAX('逐点数据'!Z5:Z24)</x:f>
        <x:v>1.3439999999973224</x:v>
      </x:c>
      <x:c r="C10" s="50"/>
      <x:c r="D10" s="60" t="str">
        <x:v>响应时间限 (s)</x:v>
      </x:c>
      <x:c r="E10" s="61" t="n">
        <x:v>2</x:v>
      </x:c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</x:row>
    <x:row r="11">
      <x:c r="A11" s="55" t="str">
        <x:v>最大 DMA 溢出计数</x:v>
      </x:c>
      <x:c r="B11" s="62" t="n">
        <x:f>MAX('逐点数据'!AB5:AB24)</x:f>
        <x:v>0</x:v>
      </x:c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</x:row>
    <x:row r="12">
      <x:c r="A12" s="63" t="str">
        <x:v>总体验收</x:v>
      </x:c>
      <x:c r="B12" s="64" t="str">
        <x:f>IF(B4=B5,"PASS","FAIL")</x:f>
        <x:v>PASS</x:v>
      </x:c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</x:row>
    <x:row r="15">
      <x:c r="A15" s="65" t="str">
        <x:v>干扰频率 (MHz)</x:v>
      </x:c>
      <x:c r="B15" s="65" t="str">
        <x:v>Upp 绝对误差 (mV)</x:v>
      </x:c>
      <x:c r="C15" s="65" t="str">
        <x:v>最大分量误差 (mV)</x:v>
      </x:c>
      <x:c r="D15" s="65" t="str">
        <x:v>5 mV 限值</x:v>
      </x:c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</x:row>
    <x:row r="16">
      <x:c r="A16" s="66" t="n">
        <x:f>'逐点数据'!B5</x:f>
        <x:v>1</x:v>
      </x:c>
      <x:c r="B16" s="66" t="n">
        <x:f>'逐点数据'!H5</x:f>
        <x:v>2.5</x:v>
      </x:c>
      <x:c r="C16" s="66" t="n">
        <x:f>'逐点数据'!AC5</x:f>
        <x:v>0.7400242555963246</x:v>
      </x:c>
      <x:c r="D16" s="66" t="n">
        <x:f>$E$8</x:f>
        <x:v>5</x:v>
      </x:c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</x:row>
    <x:row r="17">
      <x:c r="A17" s="66" t="n">
        <x:f>'逐点数据'!B6</x:f>
        <x:v>2</x:v>
      </x:c>
      <x:c r="B17" s="66" t="n">
        <x:f>'逐点数据'!H6</x:f>
        <x:v>2.1999999999999886</x:v>
      </x:c>
      <x:c r="C17" s="66" t="n">
        <x:f>'逐点数据'!AC6</x:f>
        <x:v>0.6400242555963302</x:v>
      </x:c>
      <x:c r="D17" s="66" t="n">
        <x:f>$E$8</x:f>
        <x:v>5</x:v>
      </x:c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</x:row>
    <x:row r="18">
      <x:c r="A18" s="66" t="n">
        <x:f>'逐点数据'!B7</x:f>
        <x:v>3</x:v>
      </x:c>
      <x:c r="B18" s="66" t="n">
        <x:f>'逐点数据'!H7</x:f>
        <x:v>2.3000000000000114</x:v>
      </x:c>
      <x:c r="C18" s="66" t="n">
        <x:f>'逐点数据'!AC7</x:f>
        <x:v>0.6400242555963302</x:v>
      </x:c>
      <x:c r="D18" s="66" t="n">
        <x:f>$E$8</x:f>
        <x:v>5</x:v>
      </x:c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</x:row>
    <x:row r="19">
      <x:c r="A19" s="66" t="n">
        <x:f>'逐点数据'!B8</x:f>
        <x:v>4</x:v>
      </x:c>
      <x:c r="B19" s="66" t="n">
        <x:f>'逐点数据'!H8</x:f>
        <x:v>2</x:v>
      </x:c>
      <x:c r="C19" s="66" t="n">
        <x:f>'逐点数据'!AC8</x:f>
        <x:v>0.6400242555963302</x:v>
      </x:c>
      <x:c r="D19" s="66" t="n">
        <x:f>$E$8</x:f>
        <x:v>5</x:v>
      </x:c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</x:row>
    <x:row r="20">
      <x:c r="A20" s="66" t="n">
        <x:f>'逐点数据'!B9</x:f>
        <x:v>5</x:v>
      </x:c>
      <x:c r="B20" s="66" t="n">
        <x:f>'逐点数据'!H9</x:f>
        <x:v>1.4000000000000057</x:v>
      </x:c>
      <x:c r="C20" s="66" t="n">
        <x:f>'逐点数据'!AC9</x:f>
        <x:v>0.5400242555963217</x:v>
      </x:c>
      <x:c r="D20" s="66" t="n">
        <x:f>$E$8</x:f>
        <x:v>5</x:v>
      </x:c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</x:row>
    <x:row r="21">
      <x:c r="A21" s="66" t="n">
        <x:f>'逐点数据'!B10</x:f>
        <x:v>6</x:v>
      </x:c>
      <x:c r="B21" s="66" t="n">
        <x:f>'逐点数据'!H10</x:f>
        <x:v>0.8000000000000114</x:v>
      </x:c>
      <x:c r="C21" s="66" t="n">
        <x:f>'逐点数据'!AC10</x:f>
        <x:v>0.4400242555963274</x:v>
      </x:c>
      <x:c r="D21" s="66" t="n">
        <x:f>$E$8</x:f>
        <x:v>5</x:v>
      </x:c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</x:row>
    <x:row r="22">
      <x:c r="A22" s="66" t="n">
        <x:f>'逐点数据'!B11</x:f>
        <x:v>7</x:v>
      </x:c>
      <x:c r="B22" s="66" t="n">
        <x:f>'逐点数据'!H11</x:f>
        <x:v>0.6999999999999886</x:v>
      </x:c>
      <x:c r="C22" s="66" t="n">
        <x:f>'逐点数据'!AC11</x:f>
        <x:v>0.4400242555963274</x:v>
      </x:c>
      <x:c r="D22" s="66" t="n">
        <x:f>$E$8</x:f>
        <x:v>5</x:v>
      </x:c>
      <x:c r="E22" s="50"/>
      <x:c r="F22" s="50"/>
      <x:c r="G22" s="67" t="str">
        <x:v>结论：20/20 通过。 最大 Upp 误差 2.500 mV，最大频率误差 3 Hz，最长稳定时间 1.344 s。</x:v>
      </x:c>
      <x:c r="H22" s="67"/>
      <x:c r="I22" s="67"/>
      <x:c r="J22" s="67"/>
      <x:c r="K22" s="67"/>
      <x:c r="L22" s="67"/>
      <x:c r="M22" s="67"/>
      <x:c r="N22" s="67"/>
      <x:c r="O22" s="67"/>
    </x:row>
    <x:row r="23">
      <x:c r="A23" s="66" t="n">
        <x:f>'逐点数据'!B12</x:f>
        <x:v>8</x:v>
      </x:c>
      <x:c r="B23" s="66" t="n">
        <x:f>'逐点数据'!H12</x:f>
        <x:v>0.5</x:v>
      </x:c>
      <x:c r="C23" s="66" t="n">
        <x:f>'逐点数据'!AC12</x:f>
        <x:v>0.3400242555963331</x:v>
      </x:c>
      <x:c r="D23" s="66" t="n">
        <x:f>$E$8</x:f>
        <x:v>5</x:v>
      </x:c>
      <x:c r="E23" s="50"/>
      <x:c r="F23" s="50"/>
      <x:c r="G23" s="67"/>
      <x:c r="H23" s="67"/>
      <x:c r="I23" s="67"/>
      <x:c r="J23" s="67"/>
      <x:c r="K23" s="67"/>
      <x:c r="L23" s="67"/>
      <x:c r="M23" s="67"/>
      <x:c r="N23" s="67"/>
      <x:c r="O23" s="67"/>
    </x:row>
    <x:row r="24">
      <x:c r="A24" s="66" t="n">
        <x:f>'逐点数据'!B13</x:f>
        <x:v>9</x:v>
      </x:c>
      <x:c r="B24" s="66" t="n">
        <x:f>'逐点数据'!H13</x:f>
        <x:v>0.6999999999999886</x:v>
      </x:c>
      <x:c r="C24" s="66" t="n">
        <x:f>'逐点数据'!AC13</x:f>
        <x:v>0.4400242555963274</x:v>
      </x:c>
      <x:c r="D24" s="66" t="n">
        <x:f>$E$8</x:f>
        <x:v>5</x:v>
      </x:c>
      <x:c r="E24" s="50"/>
      <x:c r="F24" s="50"/>
      <x:c r="G24" s="67"/>
      <x:c r="H24" s="67"/>
      <x:c r="I24" s="67"/>
      <x:c r="J24" s="67"/>
      <x:c r="K24" s="67"/>
      <x:c r="L24" s="67"/>
      <x:c r="M24" s="67"/>
      <x:c r="N24" s="67"/>
      <x:c r="O24" s="67"/>
    </x:row>
    <x:row r="25">
      <x:c r="A25" s="66" t="n">
        <x:f>'逐点数据'!B14</x:f>
        <x:v>10</x:v>
      </x:c>
      <x:c r="B25" s="66" t="n">
        <x:f>'逐点数据'!H14</x:f>
        <x:v>0.9000000000000057</x:v>
      </x:c>
      <x:c r="C25" s="66" t="n">
        <x:f>'逐点数据'!AC14</x:f>
        <x:v>0.4400242555963274</x:v>
      </x:c>
      <x:c r="D25" s="66" t="n">
        <x:f>$E$8</x:f>
        <x:v>5</x:v>
      </x:c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</x:row>
    <x:row r="26">
      <x:c r="A26" s="66" t="n">
        <x:f>'逐点数据'!B15</x:f>
        <x:v>11</x:v>
      </x:c>
      <x:c r="B26" s="66" t="n">
        <x:f>'逐点数据'!H15</x:f>
        <x:v>1.0999999999999943</x:v>
      </x:c>
      <x:c r="C26" s="66" t="n">
        <x:f>'逐点数据'!AC15</x:f>
        <x:v>0.4400242555963274</x:v>
      </x:c>
      <x:c r="D26" s="66" t="n">
        <x:f>$E$8</x:f>
        <x:v>5</x:v>
      </x:c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</x:row>
    <x:row r="27">
      <x:c r="A27" s="66" t="n">
        <x:f>'逐点数据'!B16</x:f>
        <x:v>12</x:v>
      </x:c>
      <x:c r="B27" s="66" t="n">
        <x:f>'逐点数据'!H16</x:f>
        <x:v>1</x:v>
      </x:c>
      <x:c r="C27" s="66" t="n">
        <x:f>'逐点数据'!AC16</x:f>
        <x:v>0.4400242555963274</x:v>
      </x:c>
      <x:c r="D27" s="66" t="n">
        <x:f>$E$8</x:f>
        <x:v>5</x:v>
      </x:c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</x:row>
    <x:row r="28">
      <x:c r="A28" s="66" t="n">
        <x:f>'逐点数据'!B17</x:f>
        <x:v>13</x:v>
      </x:c>
      <x:c r="B28" s="66" t="n">
        <x:f>'逐点数据'!H17</x:f>
        <x:v>1.3000000000000114</x:v>
      </x:c>
      <x:c r="C28" s="66" t="n">
        <x:f>'逐点数据'!AC17</x:f>
        <x:v>0.4400242555963274</x:v>
      </x:c>
      <x:c r="D28" s="66" t="n">
        <x:f>$E$8</x:f>
        <x:v>5</x:v>
      </x:c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</x:row>
    <x:row r="29">
      <x:c r="A29" s="66" t="n">
        <x:f>'逐点数据'!B18</x:f>
        <x:v>14</x:v>
      </x:c>
      <x:c r="B29" s="66" t="n">
        <x:f>'逐点数据'!H18</x:f>
        <x:v>1.4000000000000057</x:v>
      </x:c>
      <x:c r="C29" s="66" t="n">
        <x:f>'逐点数据'!AC18</x:f>
        <x:v>0.5400242555963217</x:v>
      </x:c>
      <x:c r="D29" s="66" t="n">
        <x:f>$E$8</x:f>
        <x:v>5</x:v>
      </x:c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</x:row>
    <x:row r="30">
      <x:c r="A30" s="66" t="n">
        <x:f>'逐点数据'!B19</x:f>
        <x:v>15</x:v>
      </x:c>
      <x:c r="B30" s="66" t="n">
        <x:f>'逐点数据'!H19</x:f>
        <x:v>1.4000000000000057</x:v>
      </x:c>
      <x:c r="C30" s="66" t="n">
        <x:f>'逐点数据'!AC19</x:f>
        <x:v>0.4400242555963274</x:v>
      </x:c>
      <x:c r="D30" s="66" t="n">
        <x:f>$E$8</x:f>
        <x:v>5</x:v>
      </x:c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</x:row>
    <x:row r="31">
      <x:c r="A31" s="66" t="n">
        <x:f>'逐点数据'!B20</x:f>
        <x:v>16</x:v>
      </x:c>
      <x:c r="B31" s="66" t="n">
        <x:f>'逐点数据'!H20</x:f>
        <x:v>1.5</x:v>
      </x:c>
      <x:c r="C31" s="66" t="n">
        <x:f>'逐点数据'!AC20</x:f>
        <x:v>0.4400242555963274</x:v>
      </x:c>
      <x:c r="D31" s="66" t="n">
        <x:f>$E$8</x:f>
        <x:v>5</x:v>
      </x:c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</x:row>
    <x:row r="32">
      <x:c r="A32" s="66" t="n">
        <x:f>'逐点数据'!B21</x:f>
        <x:v>17</x:v>
      </x:c>
      <x:c r="B32" s="66" t="n">
        <x:f>'逐点数据'!H21</x:f>
        <x:v>1.5999999999999943</x:v>
      </x:c>
      <x:c r="C32" s="66" t="n">
        <x:f>'逐点数据'!AC21</x:f>
        <x:v>0.5400242555963217</x:v>
      </x:c>
      <x:c r="D32" s="66" t="n">
        <x:f>$E$8</x:f>
        <x:v>5</x:v>
      </x:c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</x:row>
    <x:row r="33">
      <x:c r="A33" s="66" t="n">
        <x:f>'逐点数据'!B22</x:f>
        <x:v>18</x:v>
      </x:c>
      <x:c r="B33" s="66" t="n">
        <x:f>'逐点数据'!H22</x:f>
        <x:v>1.5999999999999943</x:v>
      </x:c>
      <x:c r="C33" s="66" t="n">
        <x:f>'逐点数据'!AC22</x:f>
        <x:v>0.5400242555963217</x:v>
      </x:c>
      <x:c r="D33" s="66" t="n">
        <x:f>$E$8</x:f>
        <x:v>5</x:v>
      </x:c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</x:row>
    <x:row r="34">
      <x:c r="A34" s="66" t="n">
        <x:f>'逐点数据'!B23</x:f>
        <x:v>19</x:v>
      </x:c>
      <x:c r="B34" s="66" t="n">
        <x:f>'逐点数据'!H23</x:f>
        <x:v>1.5</x:v>
      </x:c>
      <x:c r="C34" s="66" t="n">
        <x:f>'逐点数据'!AC23</x:f>
        <x:v>0.4400242555963274</x:v>
      </x:c>
      <x:c r="D34" s="66" t="n">
        <x:f>$E$8</x:f>
        <x:v>5</x:v>
      </x:c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</x:row>
    <x:row r="35">
      <x:c r="A35" s="66" t="n">
        <x:f>'逐点数据'!B24</x:f>
        <x:v>20</x:v>
      </x:c>
      <x:c r="B35" s="66" t="n">
        <x:f>'逐点数据'!H24</x:f>
        <x:v>1.5999999999999943</x:v>
      </x:c>
      <x:c r="C35" s="66" t="n">
        <x:f>'逐点数据'!AC24</x:f>
        <x:v>0.4400242555963274</x:v>
      </x:c>
      <x:c r="D35" s="66" t="n">
        <x:f>$E$8</x:f>
        <x:v>5</x:v>
      </x:c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</x:row>
    <x:row r="37" ht="30" customHeight="1">
      <x:c r="A37" s="68" t="str">
        <x:v>数据源：D:/01_Projects/2026_EDC_Signal/G474/outputs/20260801_question3_1_20mhz/question3_jammer_1_20mhz_results.json；生成时间：2026-08-01 02:49:58</x:v>
      </x:c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</x:row>
  </x:sheetData>
  <x:mergeCells>
    <x:mergeCell ref="A1:O2"/>
    <x:mergeCell ref="G22:O24"/>
    <x:mergeCell ref="A37:O37"/>
  </x:mergeCells>
  <x:pageMargins left="0.7" right="0.7" top="0.75" bottom="0.75" header="0.3" footer="0.3"/>
  <x:drawing xmlns:r="http://schemas.openxmlformats.org/officeDocument/2006/relationships" r:id="R0deb4aa94a3a4e8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1" hidden="0" customWidth="1"/>
    <x:col min="26" max="26" width="12" hidden="0" customWidth="1"/>
    <x:col min="27" max="27" width="10" hidden="0" customWidth="1"/>
    <x:col min="28" max="28" width="10" hidden="0" customWidth="1"/>
    <x:col min="29" max="29" width="15" hidden="0" customWidth="1"/>
    <x:col min="30" max="30" width="15" hidden="0" customWidth="1"/>
    <x:col min="31" max="31" width="10" hidden="0" customWidth="1"/>
  </x:cols>
  <x:sheetData>
    <x:row r="1">
      <x:c r="A1" s="71" t="str">
        <x:v>1-20 MHz 干扰扫频逐点数据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  <x:c r="X1" s="71"/>
      <x:c r="Y1" s="71"/>
      <x:c r="Z1" s="71"/>
      <x:c r="AA1" s="71"/>
      <x:c r="AB1" s="71"/>
      <x:c r="AC1" s="71"/>
      <x:c r="AD1" s="71"/>
      <x:c r="AE1" s="71"/>
    </x:row>
    <x:row r="2">
      <x:c r="A2" s="71"/>
      <x:c r="B2" s="71"/>
      <x:c r="C2" s="71"/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  <x:c r="P2" s="71"/>
      <x:c r="Q2" s="71"/>
      <x:c r="R2" s="71"/>
      <x:c r="S2" s="71"/>
      <x:c r="T2" s="71"/>
      <x:c r="U2" s="71"/>
      <x:c r="V2" s="71"/>
      <x:c r="W2" s="71"/>
      <x:c r="X2" s="71"/>
      <x:c r="Y2" s="71"/>
      <x:c r="Z2" s="71"/>
      <x:c r="AA2" s="71"/>
      <x:c r="AB2" s="71"/>
      <x:c r="AC2" s="71"/>
      <x:c r="AD2" s="71"/>
      <x:c r="AE2" s="71"/>
    </x:row>
    <x:row r="3">
      <x:c r="A3" s="72" t="str">
        <x:v>实际值来自发生器零相位函数计算；检测值来自 COM14 九帧聚合后的 5 帧中位数。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  <x:c r="AA3" s="72"/>
      <x:c r="AB3" s="72"/>
      <x:c r="AC3" s="72"/>
      <x:c r="AD3" s="72"/>
      <x:c r="AE3" s="72"/>
    </x:row>
    <x:row r="4" ht="42" customHeight="1">
      <x:c r="A4" s="76" t="str">
        <x:v>序号</x:v>
      </x:c>
      <x:c r="B4" s="76" t="str">
        <x:v>干扰频率_MHz</x:v>
      </x:c>
      <x:c r="C4" s="76" t="str">
        <x:v>干扰Upp_mV</x:v>
      </x:c>
      <x:c r="D4" s="76" t="str">
        <x:v>发生器总Upp_mV</x:v>
      </x:c>
      <x:c r="E4" s="76" t="str">
        <x:v>ub_Upp实际_mV</x:v>
      </x:c>
      <x:c r="F4" s="76" t="str">
        <x:v>ub_Upp检测_mV</x:v>
      </x:c>
      <x:c r="G4" s="76" t="str">
        <x:v>Upp误差_mV</x:v>
      </x:c>
      <x:c r="H4" s="76" t="str">
        <x:v>Upp绝对误差_mV</x:v>
      </x:c>
      <x:c r="I4" s="76" t="str">
        <x:v>RMS实际_mV</x:v>
      </x:c>
      <x:c r="J4" s="76" t="str">
        <x:v>RMS检测_mV</x:v>
      </x:c>
      <x:c r="K4" s="76" t="str">
        <x:v>RMS误差_mV</x:v>
      </x:c>
      <x:c r="L4" s="76" t="str">
        <x:v>RMS绝对误差_mV</x:v>
      </x:c>
      <x:c r="M4" s="76" t="str">
        <x:v>f1实际_Hz</x:v>
      </x:c>
      <x:c r="N4" s="76" t="str">
        <x:v>f1检测_Hz</x:v>
      </x:c>
      <x:c r="O4" s="76" t="str">
        <x:v>f1误差_Hz</x:v>
      </x:c>
      <x:c r="P4" s="76" t="str">
        <x:v>A1实际峰值_mV</x:v>
      </x:c>
      <x:c r="Q4" s="76" t="str">
        <x:v>A1检测峰值_mV</x:v>
      </x:c>
      <x:c r="R4" s="76" t="str">
        <x:v>A1误差_mV</x:v>
      </x:c>
      <x:c r="S4" s="76" t="str">
        <x:v>f2实际_Hz</x:v>
      </x:c>
      <x:c r="T4" s="76" t="str">
        <x:v>f2检测_Hz</x:v>
      </x:c>
      <x:c r="U4" s="76" t="str">
        <x:v>f2误差_Hz</x:v>
      </x:c>
      <x:c r="V4" s="76" t="str">
        <x:v>A2实际峰值_mV</x:v>
      </x:c>
      <x:c r="W4" s="76" t="str">
        <x:v>A2检测峰值_mV</x:v>
      </x:c>
      <x:c r="X4" s="76" t="str">
        <x:v>A2误差_mV</x:v>
      </x:c>
      <x:c r="Y4" s="76" t="str">
        <x:v>检出分量数</x:v>
      </x:c>
      <x:c r="Z4" s="76" t="str">
        <x:v>响应时间_s</x:v>
      </x:c>
      <x:c r="AA4" s="76" t="str">
        <x:v>信号有效</x:v>
      </x:c>
      <x:c r="AB4" s="76" t="str">
        <x:v>DMA溢出</x:v>
      </x:c>
      <x:c r="AC4" s="76" t="str">
        <x:v>最大分量误差_mV</x:v>
      </x:c>
      <x:c r="AD4" s="76" t="str">
        <x:v>最大频率误差_Hz</x:v>
      </x:c>
      <x:c r="AE4" s="76" t="str">
        <x:v>结果</x:v>
      </x:c>
    </x:row>
    <x:row r="5">
      <x:c r="A5" s="78" t="n">
        <x:v>1</x:v>
      </x:c>
      <x:c r="B5" s="79" t="n">
        <x:v>1</x:v>
      </x:c>
      <x:c r="C5" s="80" t="n">
        <x:v>200</x:v>
      </x:c>
      <x:c r="D5" s="80" t="n">
        <x:v>363.0251713230084</x:v>
      </x:c>
      <x:c r="E5" s="80" t="n">
        <x:v>250</x:v>
      </x:c>
      <x:c r="F5" s="80" t="n">
        <x:v>252.5</x:v>
      </x:c>
      <x:c r="G5" s="80" t="n">
        <x:f>F5-E5</x:f>
        <x:v>2.5</x:v>
      </x:c>
      <x:c r="H5" s="80" t="n">
        <x:f>ABS(G5)</x:f>
        <x:v>2.5</x:v>
      </x:c>
      <x:c r="I5" s="80" t="n">
        <x:v>72.98657531307474</x:v>
      </x:c>
      <x:c r="J5" s="80" t="n">
        <x:v>73.7</x:v>
      </x:c>
      <x:c r="K5" s="80" t="n">
        <x:f>J5-I5</x:f>
        <x:v>0.713424686925265</x:v>
      </x:c>
      <x:c r="L5" s="80" t="n">
        <x:f>ABS(K5)</x:f>
        <x:v>0.713424686925265</x:v>
      </x:c>
      <x:c r="M5" s="79" t="n">
        <x:v>250000</x:v>
      </x:c>
      <x:c r="N5" s="79" t="n">
        <x:v>250003</x:v>
      </x:c>
      <x:c r="O5" s="79" t="n">
        <x:f>N5-M5</x:f>
        <x:v>3</x:v>
      </x:c>
      <x:c r="P5" s="80" t="n">
        <x:v>84.55997574440367</x:v>
      </x:c>
      <x:c r="Q5" s="80" t="n">
        <x:v>85.3</x:v>
      </x:c>
      <x:c r="R5" s="80" t="n">
        <x:f>Q5-P5</x:f>
        <x:v>0.7400242555963246</x:v>
      </x:c>
      <x:c r="S5" s="79" t="n">
        <x:v>500000</x:v>
      </x:c>
      <x:c r="T5" s="79" t="n">
        <x:v>500000</x:v>
      </x:c>
      <x:c r="U5" s="79" t="n">
        <x:f>T5-S5</x:f>
        <x:v>0</x:v>
      </x:c>
      <x:c r="V5" s="80" t="n">
        <x:v>59.191983021082564</x:v>
      </x:c>
      <x:c r="W5" s="80" t="n">
        <x:v>59.9</x:v>
      </x:c>
      <x:c r="X5" s="80" t="n">
        <x:f>W5-V5</x:f>
        <x:v>0.7080169789174349</x:v>
      </x:c>
      <x:c r="Y5" s="79" t="n">
        <x:v>2</x:v>
      </x:c>
      <x:c r="Z5" s="80" t="n">
        <x:v>1.2180000000007567</x:v>
      </x:c>
      <x:c r="AA5" s="79" t="n">
        <x:v>1</x:v>
      </x:c>
      <x:c r="AB5" s="79" t="n">
        <x:v>0</x:v>
      </x:c>
      <x:c r="AC5" s="80" t="n">
        <x:f>MAX(ABS(R5),ABS(X5))</x:f>
        <x:v>0.7400242555963246</x:v>
      </x:c>
      <x:c r="AD5" s="79" t="n">
        <x:f>MAX(ABS(O5),ABS(U5))</x:f>
        <x:v>3</x:v>
      </x:c>
      <x:c r="AE5" s="78" t="str">
        <x:f>IF(AND(H5&lt;=5,L5&lt;=5,AC5&lt;=5,AD5&lt;=1000,Y5=2,Z5&lt;=2,AA5=1,AB5=0),"PASS","FAIL")</x:f>
        <x:v>PASS</x:v>
      </x:c>
    </x:row>
    <x:row r="6">
      <x:c r="A6" s="78" t="n">
        <x:v>2</x:v>
      </x:c>
      <x:c r="B6" s="79" t="n">
        <x:v>2</x:v>
      </x:c>
      <x:c r="C6" s="80" t="n">
        <x:v>200</x:v>
      </x:c>
      <x:c r="D6" s="80" t="n">
        <x:v>449.9688556598328</x:v>
      </x:c>
      <x:c r="E6" s="80" t="n">
        <x:v>250</x:v>
      </x:c>
      <x:c r="F6" s="80" t="n">
        <x:v>252.2</x:v>
      </x:c>
      <x:c r="G6" s="80" t="n">
        <x:f>F6-E6</x:f>
        <x:v>2.1999999999999886</x:v>
      </x:c>
      <x:c r="H6" s="80" t="n">
        <x:f>ABS(G6)</x:f>
        <x:v>2.1999999999999886</x:v>
      </x:c>
      <x:c r="I6" s="80" t="n">
        <x:v>72.98657531307474</x:v>
      </x:c>
      <x:c r="J6" s="80" t="n">
        <x:v>73.6</x:v>
      </x:c>
      <x:c r="K6" s="80" t="n">
        <x:f>J6-I6</x:f>
        <x:v>0.6134246869252564</x:v>
      </x:c>
      <x:c r="L6" s="80" t="n">
        <x:f>ABS(K6)</x:f>
        <x:v>0.6134246869252564</x:v>
      </x:c>
      <x:c r="M6" s="79" t="n">
        <x:v>250000</x:v>
      </x:c>
      <x:c r="N6" s="79" t="n">
        <x:v>250003</x:v>
      </x:c>
      <x:c r="O6" s="79" t="n">
        <x:f>N6-M6</x:f>
        <x:v>3</x:v>
      </x:c>
      <x:c r="P6" s="80" t="n">
        <x:v>84.55997574440367</x:v>
      </x:c>
      <x:c r="Q6" s="80" t="n">
        <x:v>85.2</x:v>
      </x:c>
      <x:c r="R6" s="80" t="n">
        <x:f>Q6-P6</x:f>
        <x:v>0.6400242555963302</x:v>
      </x:c>
      <x:c r="S6" s="79" t="n">
        <x:v>500000</x:v>
      </x:c>
      <x:c r="T6" s="79" t="n">
        <x:v>500000</x:v>
      </x:c>
      <x:c r="U6" s="79" t="n">
        <x:f>T6-S6</x:f>
        <x:v>0</x:v>
      </x:c>
      <x:c r="V6" s="80" t="n">
        <x:v>59.191983021082564</x:v>
      </x:c>
      <x:c r="W6" s="80" t="n">
        <x:v>59.8</x:v>
      </x:c>
      <x:c r="X6" s="80" t="n">
        <x:f>W6-V6</x:f>
        <x:v>0.6080169789174334</x:v>
      </x:c>
      <x:c r="Y6" s="79" t="n">
        <x:v>2</x:v>
      </x:c>
      <x:c r="Z6" s="80" t="n">
        <x:v>1.25</x:v>
      </x:c>
      <x:c r="AA6" s="79" t="n">
        <x:v>1</x:v>
      </x:c>
      <x:c r="AB6" s="79" t="n">
        <x:v>0</x:v>
      </x:c>
      <x:c r="AC6" s="80" t="n">
        <x:f>MAX(ABS(R6),ABS(X6))</x:f>
        <x:v>0.6400242555963302</x:v>
      </x:c>
      <x:c r="AD6" s="79" t="n">
        <x:f>MAX(ABS(O6),ABS(U6))</x:f>
        <x:v>3</x:v>
      </x:c>
      <x:c r="AE6" s="78" t="str">
        <x:f>IF(AND(H6&lt;=5,L6&lt;=5,AC6&lt;=5,AD6&lt;=1000,Y6=2,Z6&lt;=2,AA6=1,AB6=0),"PASS","FAIL")</x:f>
        <x:v>PASS</x:v>
      </x:c>
    </x:row>
    <x:row r="7">
      <x:c r="A7" s="78" t="n">
        <x:v>3</x:v>
      </x:c>
      <x:c r="B7" s="79" t="n">
        <x:v>3</x:v>
      </x:c>
      <x:c r="C7" s="80" t="n">
        <x:v>200</x:v>
      </x:c>
      <x:c r="D7" s="80" t="n">
        <x:v>440.13467898352957</x:v>
      </x:c>
      <x:c r="E7" s="80" t="n">
        <x:v>250</x:v>
      </x:c>
      <x:c r="F7" s="80" t="n">
        <x:v>252.3</x:v>
      </x:c>
      <x:c r="G7" s="80" t="n">
        <x:f>F7-E7</x:f>
        <x:v>2.3000000000000114</x:v>
      </x:c>
      <x:c r="H7" s="80" t="n">
        <x:f>ABS(G7)</x:f>
        <x:v>2.3000000000000114</x:v>
      </x:c>
      <x:c r="I7" s="80" t="n">
        <x:v>72.98657531307474</x:v>
      </x:c>
      <x:c r="J7" s="80" t="n">
        <x:v>73.6</x:v>
      </x:c>
      <x:c r="K7" s="80" t="n">
        <x:f>J7-I7</x:f>
        <x:v>0.6134246869252564</x:v>
      </x:c>
      <x:c r="L7" s="80" t="n">
        <x:f>ABS(K7)</x:f>
        <x:v>0.6134246869252564</x:v>
      </x:c>
      <x:c r="M7" s="79" t="n">
        <x:v>250000</x:v>
      </x:c>
      <x:c r="N7" s="79" t="n">
        <x:v>250003</x:v>
      </x:c>
      <x:c r="O7" s="79" t="n">
        <x:f>N7-M7</x:f>
        <x:v>3</x:v>
      </x:c>
      <x:c r="P7" s="80" t="n">
        <x:v>84.55997574440367</x:v>
      </x:c>
      <x:c r="Q7" s="80" t="n">
        <x:v>85.2</x:v>
      </x:c>
      <x:c r="R7" s="80" t="n">
        <x:f>Q7-P7</x:f>
        <x:v>0.6400242555963302</x:v>
      </x:c>
      <x:c r="S7" s="79" t="n">
        <x:v>500000</x:v>
      </x:c>
      <x:c r="T7" s="79" t="n">
        <x:v>500000</x:v>
      </x:c>
      <x:c r="U7" s="79" t="n">
        <x:f>T7-S7</x:f>
        <x:v>0</x:v>
      </x:c>
      <x:c r="V7" s="80" t="n">
        <x:v>59.191983021082564</x:v>
      </x:c>
      <x:c r="W7" s="80" t="n">
        <x:v>59.8</x:v>
      </x:c>
      <x:c r="X7" s="80" t="n">
        <x:f>W7-V7</x:f>
        <x:v>0.6080169789174334</x:v>
      </x:c>
      <x:c r="Y7" s="79" t="n">
        <x:v>2</x:v>
      </x:c>
      <x:c r="Z7" s="80" t="n">
        <x:v>1.3280000000013388</x:v>
      </x:c>
      <x:c r="AA7" s="79" t="n">
        <x:v>1</x:v>
      </x:c>
      <x:c r="AB7" s="79" t="n">
        <x:v>0</x:v>
      </x:c>
      <x:c r="AC7" s="80" t="n">
        <x:f>MAX(ABS(R7),ABS(X7))</x:f>
        <x:v>0.6400242555963302</x:v>
      </x:c>
      <x:c r="AD7" s="79" t="n">
        <x:f>MAX(ABS(O7),ABS(U7))</x:f>
        <x:v>3</x:v>
      </x:c>
      <x:c r="AE7" s="78" t="str">
        <x:f>IF(AND(H7&lt;=5,L7&lt;=5,AC7&lt;=5,AD7&lt;=1000,Y7=2,Z7&lt;=2,AA7=1,AB7=0),"PASS","FAIL")</x:f>
        <x:v>PASS</x:v>
      </x:c>
    </x:row>
    <x:row r="8">
      <x:c r="A8" s="78" t="n">
        <x:v>4</x:v>
      </x:c>
      <x:c r="B8" s="79" t="n">
        <x:v>4</x:v>
      </x:c>
      <x:c r="C8" s="80" t="n">
        <x:v>200</x:v>
      </x:c>
      <x:c r="D8" s="80" t="n">
        <x:v>446.8409417445612</x:v>
      </x:c>
      <x:c r="E8" s="80" t="n">
        <x:v>250</x:v>
      </x:c>
      <x:c r="F8" s="80" t="n">
        <x:v>252</x:v>
      </x:c>
      <x:c r="G8" s="80" t="n">
        <x:f>F8-E8</x:f>
        <x:v>2</x:v>
      </x:c>
      <x:c r="H8" s="80" t="n">
        <x:f>ABS(G8)</x:f>
        <x:v>2</x:v>
      </x:c>
      <x:c r="I8" s="80" t="n">
        <x:v>72.98657531307474</x:v>
      </x:c>
      <x:c r="J8" s="80" t="n">
        <x:v>73.6</x:v>
      </x:c>
      <x:c r="K8" s="80" t="n">
        <x:f>J8-I8</x:f>
        <x:v>0.6134246869252564</x:v>
      </x:c>
      <x:c r="L8" s="80" t="n">
        <x:f>ABS(K8)</x:f>
        <x:v>0.6134246869252564</x:v>
      </x:c>
      <x:c r="M8" s="79" t="n">
        <x:v>250000</x:v>
      </x:c>
      <x:c r="N8" s="79" t="n">
        <x:v>250003</x:v>
      </x:c>
      <x:c r="O8" s="79" t="n">
        <x:f>N8-M8</x:f>
        <x:v>3</x:v>
      </x:c>
      <x:c r="P8" s="80" t="n">
        <x:v>84.55997574440367</x:v>
      </x:c>
      <x:c r="Q8" s="80" t="n">
        <x:v>85.2</x:v>
      </x:c>
      <x:c r="R8" s="80" t="n">
        <x:f>Q8-P8</x:f>
        <x:v>0.6400242555963302</x:v>
      </x:c>
      <x:c r="S8" s="79" t="n">
        <x:v>500000</x:v>
      </x:c>
      <x:c r="T8" s="79" t="n">
        <x:v>500000</x:v>
      </x:c>
      <x:c r="U8" s="79" t="n">
        <x:f>T8-S8</x:f>
        <x:v>0</x:v>
      </x:c>
      <x:c r="V8" s="80" t="n">
        <x:v>59.191983021082564</x:v>
      </x:c>
      <x:c r="W8" s="80" t="n">
        <x:v>59.7</x:v>
      </x:c>
      <x:c r="X8" s="80" t="n">
        <x:f>W8-V8</x:f>
        <x:v>0.5080169789174391</x:v>
      </x:c>
      <x:c r="Y8" s="79" t="n">
        <x:v>2</x:v>
      </x:c>
      <x:c r="Z8" s="80" t="n">
        <x:v>1.2969999999986612</x:v>
      </x:c>
      <x:c r="AA8" s="79" t="n">
        <x:v>1</x:v>
      </x:c>
      <x:c r="AB8" s="79" t="n">
        <x:v>0</x:v>
      </x:c>
      <x:c r="AC8" s="80" t="n">
        <x:f>MAX(ABS(R8),ABS(X8))</x:f>
        <x:v>0.6400242555963302</x:v>
      </x:c>
      <x:c r="AD8" s="79" t="n">
        <x:f>MAX(ABS(O8),ABS(U8))</x:f>
        <x:v>3</x:v>
      </x:c>
      <x:c r="AE8" s="78" t="str">
        <x:f>IF(AND(H8&lt;=5,L8&lt;=5,AC8&lt;=5,AD8&lt;=1000,Y8=2,Z8&lt;=2,AA8=1,AB8=0),"PASS","FAIL")</x:f>
        <x:v>PASS</x:v>
      </x:c>
    </x:row>
    <x:row r="9">
      <x:c r="A9" s="78" t="n">
        <x:v>5</x:v>
      </x:c>
      <x:c r="B9" s="79" t="n">
        <x:v>5</x:v>
      </x:c>
      <x:c r="C9" s="80" t="n">
        <x:v>200</x:v>
      </x:c>
      <x:c r="D9" s="80" t="n">
        <x:v>449.34198396781915</x:v>
      </x:c>
      <x:c r="E9" s="80" t="n">
        <x:v>250</x:v>
      </x:c>
      <x:c r="F9" s="80" t="n">
        <x:v>251.4</x:v>
      </x:c>
      <x:c r="G9" s="80" t="n">
        <x:f>F9-E9</x:f>
        <x:v>1.4000000000000057</x:v>
      </x:c>
      <x:c r="H9" s="80" t="n">
        <x:f>ABS(G9)</x:f>
        <x:v>1.4000000000000057</x:v>
      </x:c>
      <x:c r="I9" s="80" t="n">
        <x:v>72.98657531307474</x:v>
      </x:c>
      <x:c r="J9" s="80" t="n">
        <x:v>73.4</x:v>
      </x:c>
      <x:c r="K9" s="80" t="n">
        <x:f>J9-I9</x:f>
        <x:v>0.4134246869252678</x:v>
      </x:c>
      <x:c r="L9" s="80" t="n">
        <x:f>ABS(K9)</x:f>
        <x:v>0.4134246869252678</x:v>
      </x:c>
      <x:c r="M9" s="79" t="n">
        <x:v>250000</x:v>
      </x:c>
      <x:c r="N9" s="79" t="n">
        <x:v>250003</x:v>
      </x:c>
      <x:c r="O9" s="79" t="n">
        <x:f>N9-M9</x:f>
        <x:v>3</x:v>
      </x:c>
      <x:c r="P9" s="80" t="n">
        <x:v>84.55997574440367</x:v>
      </x:c>
      <x:c r="Q9" s="80" t="n">
        <x:v>85.1</x:v>
      </x:c>
      <x:c r="R9" s="80" t="n">
        <x:f>Q9-P9</x:f>
        <x:v>0.5400242555963217</x:v>
      </x:c>
      <x:c r="S9" s="79" t="n">
        <x:v>500000</x:v>
      </x:c>
      <x:c r="T9" s="79" t="n">
        <x:v>500000</x:v>
      </x:c>
      <x:c r="U9" s="79" t="n">
        <x:f>T9-S9</x:f>
        <x:v>0</x:v>
      </x:c>
      <x:c r="V9" s="80" t="n">
        <x:v>59.191983021082564</x:v>
      </x:c>
      <x:c r="W9" s="80" t="n">
        <x:v>59.4</x:v>
      </x:c>
      <x:c r="X9" s="80" t="n">
        <x:f>W9-V9</x:f>
        <x:v>0.20801697891743487</x:v>
      </x:c>
      <x:c r="Y9" s="79" t="n">
        <x:v>2</x:v>
      </x:c>
      <x:c r="Z9" s="80" t="n">
        <x:v>1.264999999999418</x:v>
      </x:c>
      <x:c r="AA9" s="79" t="n">
        <x:v>1</x:v>
      </x:c>
      <x:c r="AB9" s="79" t="n">
        <x:v>0</x:v>
      </x:c>
      <x:c r="AC9" s="80" t="n">
        <x:f>MAX(ABS(R9),ABS(X9))</x:f>
        <x:v>0.5400242555963217</x:v>
      </x:c>
      <x:c r="AD9" s="79" t="n">
        <x:f>MAX(ABS(O9),ABS(U9))</x:f>
        <x:v>3</x:v>
      </x:c>
      <x:c r="AE9" s="78" t="str">
        <x:f>IF(AND(H9&lt;=5,L9&lt;=5,AC9&lt;=5,AD9&lt;=1000,Y9=2,Z9&lt;=2,AA9=1,AB9=0),"PASS","FAIL")</x:f>
        <x:v>PASS</x:v>
      </x:c>
    </x:row>
    <x:row r="10">
      <x:c r="A10" s="78" t="n">
        <x:v>6</x:v>
      </x:c>
      <x:c r="B10" s="79" t="n">
        <x:v>6</x:v>
      </x:c>
      <x:c r="C10" s="80" t="n">
        <x:v>200</x:v>
      </x:c>
      <x:c r="D10" s="80" t="n">
        <x:v>445.61982987608667</x:v>
      </x:c>
      <x:c r="E10" s="80" t="n">
        <x:v>250</x:v>
      </x:c>
      <x:c r="F10" s="80" t="n">
        <x:v>250.8</x:v>
      </x:c>
      <x:c r="G10" s="80" t="n">
        <x:f>F10-E10</x:f>
        <x:v>0.8000000000000114</x:v>
      </x:c>
      <x:c r="H10" s="80" t="n">
        <x:f>ABS(G10)</x:f>
        <x:v>0.8000000000000114</x:v>
      </x:c>
      <x:c r="I10" s="80" t="n">
        <x:v>72.98657531307474</x:v>
      </x:c>
      <x:c r="J10" s="80" t="n">
        <x:v>73.3</x:v>
      </x:c>
      <x:c r="K10" s="80" t="n">
        <x:f>J10-I10</x:f>
        <x:v>0.31342468692525927</x:v>
      </x:c>
      <x:c r="L10" s="80" t="n">
        <x:f>ABS(K10)</x:f>
        <x:v>0.31342468692525927</x:v>
      </x:c>
      <x:c r="M10" s="79" t="n">
        <x:v>250000</x:v>
      </x:c>
      <x:c r="N10" s="79" t="n">
        <x:v>250003</x:v>
      </x:c>
      <x:c r="O10" s="79" t="n">
        <x:f>N10-M10</x:f>
        <x:v>3</x:v>
      </x:c>
      <x:c r="P10" s="80" t="n">
        <x:v>84.55997574440367</x:v>
      </x:c>
      <x:c r="Q10" s="80" t="n">
        <x:v>85</x:v>
      </x:c>
      <x:c r="R10" s="80" t="n">
        <x:f>Q10-P10</x:f>
        <x:v>0.4400242555963274</x:v>
      </x:c>
      <x:c r="S10" s="79" t="n">
        <x:v>500000</x:v>
      </x:c>
      <x:c r="T10" s="79" t="n">
        <x:v>500000</x:v>
      </x:c>
      <x:c r="U10" s="79" t="n">
        <x:f>T10-S10</x:f>
        <x:v>0</x:v>
      </x:c>
      <x:c r="V10" s="80" t="n">
        <x:v>59.191983021082564</x:v>
      </x:c>
      <x:c r="W10" s="80" t="n">
        <x:v>59.2</x:v>
      </x:c>
      <x:c r="X10" s="80" t="n">
        <x:f>W10-V10</x:f>
        <x:v>0.008016978917439133</x:v>
      </x:c>
      <x:c r="Y10" s="79" t="n">
        <x:v>2</x:v>
      </x:c>
      <x:c r="Z10" s="80" t="n">
        <x:v>1.235000000000582</x:v>
      </x:c>
      <x:c r="AA10" s="79" t="n">
        <x:v>1</x:v>
      </x:c>
      <x:c r="AB10" s="79" t="n">
        <x:v>0</x:v>
      </x:c>
      <x:c r="AC10" s="80" t="n">
        <x:f>MAX(ABS(R10),ABS(X10))</x:f>
        <x:v>0.4400242555963274</x:v>
      </x:c>
      <x:c r="AD10" s="79" t="n">
        <x:f>MAX(ABS(O10),ABS(U10))</x:f>
        <x:v>3</x:v>
      </x:c>
      <x:c r="AE10" s="78" t="str">
        <x:f>IF(AND(H10&lt;=5,L10&lt;=5,AC10&lt;=5,AD10&lt;=1000,Y10=2,Z10&lt;=2,AA10=1,AB10=0),"PASS","FAIL")</x:f>
        <x:v>PASS</x:v>
      </x:c>
    </x:row>
    <x:row r="11">
      <x:c r="A11" s="78" t="n">
        <x:v>7</x:v>
      </x:c>
      <x:c r="B11" s="79" t="n">
        <x:v>7</x:v>
      </x:c>
      <x:c r="C11" s="80" t="n">
        <x:v>200</x:v>
      </x:c>
      <x:c r="D11" s="80" t="n">
        <x:v>449.55210858704135</x:v>
      </x:c>
      <x:c r="E11" s="80" t="n">
        <x:v>250</x:v>
      </x:c>
      <x:c r="F11" s="80" t="n">
        <x:v>250.7</x:v>
      </x:c>
      <x:c r="G11" s="80" t="n">
        <x:f>F11-E11</x:f>
        <x:v>0.6999999999999886</x:v>
      </x:c>
      <x:c r="H11" s="80" t="n">
        <x:f>ABS(G11)</x:f>
        <x:v>0.6999999999999886</x:v>
      </x:c>
      <x:c r="I11" s="80" t="n">
        <x:v>72.98657531307474</x:v>
      </x:c>
      <x:c r="J11" s="80" t="n">
        <x:v>73.2</x:v>
      </x:c>
      <x:c r="K11" s="80" t="n">
        <x:f>J11-I11</x:f>
        <x:v>0.21342468692526495</x:v>
      </x:c>
      <x:c r="L11" s="80" t="n">
        <x:f>ABS(K11)</x:f>
        <x:v>0.21342468692526495</x:v>
      </x:c>
      <x:c r="M11" s="79" t="n">
        <x:v>250000</x:v>
      </x:c>
      <x:c r="N11" s="79" t="n">
        <x:v>250003</x:v>
      </x:c>
      <x:c r="O11" s="79" t="n">
        <x:f>N11-M11</x:f>
        <x:v>3</x:v>
      </x:c>
      <x:c r="P11" s="80" t="n">
        <x:v>84.55997574440367</x:v>
      </x:c>
      <x:c r="Q11" s="80" t="n">
        <x:v>85</x:v>
      </x:c>
      <x:c r="R11" s="80" t="n">
        <x:f>Q11-P11</x:f>
        <x:v>0.4400242555963274</x:v>
      </x:c>
      <x:c r="S11" s="79" t="n">
        <x:v>500000</x:v>
      </x:c>
      <x:c r="T11" s="79" t="n">
        <x:v>500000</x:v>
      </x:c>
      <x:c r="U11" s="79" t="n">
        <x:f>T11-S11</x:f>
        <x:v>0</x:v>
      </x:c>
      <x:c r="V11" s="80" t="n">
        <x:v>59.191983021082564</x:v>
      </x:c>
      <x:c r="W11" s="80" t="n">
        <x:v>59.2</x:v>
      </x:c>
      <x:c r="X11" s="80" t="n">
        <x:f>W11-V11</x:f>
        <x:v>0.008016978917439133</x:v>
      </x:c>
      <x:c r="Y11" s="79" t="n">
        <x:v>2</x:v>
      </x:c>
      <x:c r="Z11" s="80" t="n">
        <x:v>1.2809999999954016</x:v>
      </x:c>
      <x:c r="AA11" s="79" t="n">
        <x:v>1</x:v>
      </x:c>
      <x:c r="AB11" s="79" t="n">
        <x:v>0</x:v>
      </x:c>
      <x:c r="AC11" s="80" t="n">
        <x:f>MAX(ABS(R11),ABS(X11))</x:f>
        <x:v>0.4400242555963274</x:v>
      </x:c>
      <x:c r="AD11" s="79" t="n">
        <x:f>MAX(ABS(O11),ABS(U11))</x:f>
        <x:v>3</x:v>
      </x:c>
      <x:c r="AE11" s="78" t="str">
        <x:f>IF(AND(H11&lt;=5,L11&lt;=5,AC11&lt;=5,AD11&lt;=1000,Y11=2,Z11&lt;=2,AA11=1,AB11=0),"PASS","FAIL")</x:f>
        <x:v>PASS</x:v>
      </x:c>
    </x:row>
    <x:row r="12">
      <x:c r="A12" s="78" t="n">
        <x:v>8</x:v>
      </x:c>
      <x:c r="B12" s="79" t="n">
        <x:v>8</x:v>
      </x:c>
      <x:c r="C12" s="80" t="n">
        <x:v>200</x:v>
      </x:c>
      <x:c r="D12" s="80" t="n">
        <x:v>449.4582099261686</x:v>
      </x:c>
      <x:c r="E12" s="80" t="n">
        <x:v>250</x:v>
      </x:c>
      <x:c r="F12" s="80" t="n">
        <x:v>250.5</x:v>
      </x:c>
      <x:c r="G12" s="80" t="n">
        <x:f>F12-E12</x:f>
        <x:v>0.5</x:v>
      </x:c>
      <x:c r="H12" s="80" t="n">
        <x:f>ABS(G12)</x:f>
        <x:v>0.5</x:v>
      </x:c>
      <x:c r="I12" s="80" t="n">
        <x:v>72.98657531307474</x:v>
      </x:c>
      <x:c r="J12" s="80" t="n">
        <x:v>73.2</x:v>
      </x:c>
      <x:c r="K12" s="80" t="n">
        <x:f>J12-I12</x:f>
        <x:v>0.21342468692526495</x:v>
      </x:c>
      <x:c r="L12" s="80" t="n">
        <x:f>ABS(K12)</x:f>
        <x:v>0.21342468692526495</x:v>
      </x:c>
      <x:c r="M12" s="79" t="n">
        <x:v>250000</x:v>
      </x:c>
      <x:c r="N12" s="79" t="n">
        <x:v>250003</x:v>
      </x:c>
      <x:c r="O12" s="79" t="n">
        <x:f>N12-M12</x:f>
        <x:v>3</x:v>
      </x:c>
      <x:c r="P12" s="80" t="n">
        <x:v>84.55997574440367</x:v>
      </x:c>
      <x:c r="Q12" s="80" t="n">
        <x:v>84.9</x:v>
      </x:c>
      <x:c r="R12" s="80" t="n">
        <x:f>Q12-P12</x:f>
        <x:v>0.3400242555963331</x:v>
      </x:c>
      <x:c r="S12" s="79" t="n">
        <x:v>500000</x:v>
      </x:c>
      <x:c r="T12" s="79" t="n">
        <x:v>500000</x:v>
      </x:c>
      <x:c r="U12" s="79" t="n">
        <x:f>T12-S12</x:f>
        <x:v>0</x:v>
      </x:c>
      <x:c r="V12" s="80" t="n">
        <x:v>59.191983021082564</x:v>
      </x:c>
      <x:c r="W12" s="80" t="n">
        <x:v>59.1</x:v>
      </x:c>
      <x:c r="X12" s="80" t="n">
        <x:f>W12-V12</x:f>
        <x:v>-0.09198302108256229</x:v>
      </x:c>
      <x:c r="Y12" s="79" t="n">
        <x:v>2</x:v>
      </x:c>
      <x:c r="Z12" s="80" t="n">
        <x:v>1.2810000000026776</x:v>
      </x:c>
      <x:c r="AA12" s="79" t="n">
        <x:v>1</x:v>
      </x:c>
      <x:c r="AB12" s="79" t="n">
        <x:v>0</x:v>
      </x:c>
      <x:c r="AC12" s="80" t="n">
        <x:f>MAX(ABS(R12),ABS(X12))</x:f>
        <x:v>0.3400242555963331</x:v>
      </x:c>
      <x:c r="AD12" s="79" t="n">
        <x:f>MAX(ABS(O12),ABS(U12))</x:f>
        <x:v>3</x:v>
      </x:c>
      <x:c r="AE12" s="78" t="str">
        <x:f>IF(AND(H12&lt;=5,L12&lt;=5,AC12&lt;=5,AD12&lt;=1000,Y12=2,Z12&lt;=2,AA12=1,AB12=0),"PASS","FAIL")</x:f>
        <x:v>PASS</x:v>
      </x:c>
    </x:row>
    <x:row r="13">
      <x:c r="A13" s="78" t="n">
        <x:v>9</x:v>
      </x:c>
      <x:c r="B13" s="79" t="n">
        <x:v>9</x:v>
      </x:c>
      <x:c r="C13" s="80" t="n">
        <x:v>200</x:v>
      </x:c>
      <x:c r="D13" s="80" t="n">
        <x:v>448.4232193793866</x:v>
      </x:c>
      <x:c r="E13" s="80" t="n">
        <x:v>250</x:v>
      </x:c>
      <x:c r="F13" s="80" t="n">
        <x:v>250.7</x:v>
      </x:c>
      <x:c r="G13" s="80" t="n">
        <x:f>F13-E13</x:f>
        <x:v>0.6999999999999886</x:v>
      </x:c>
      <x:c r="H13" s="80" t="n">
        <x:f>ABS(G13)</x:f>
        <x:v>0.6999999999999886</x:v>
      </x:c>
      <x:c r="I13" s="80" t="n">
        <x:v>72.98657531307474</x:v>
      </x:c>
      <x:c r="J13" s="80" t="n">
        <x:v>73.2</x:v>
      </x:c>
      <x:c r="K13" s="80" t="n">
        <x:f>J13-I13</x:f>
        <x:v>0.21342468692526495</x:v>
      </x:c>
      <x:c r="L13" s="80" t="n">
        <x:f>ABS(K13)</x:f>
        <x:v>0.21342468692526495</x:v>
      </x:c>
      <x:c r="M13" s="79" t="n">
        <x:v>250000</x:v>
      </x:c>
      <x:c r="N13" s="79" t="n">
        <x:v>250003</x:v>
      </x:c>
      <x:c r="O13" s="79" t="n">
        <x:f>N13-M13</x:f>
        <x:v>3</x:v>
      </x:c>
      <x:c r="P13" s="80" t="n">
        <x:v>84.55997574440367</x:v>
      </x:c>
      <x:c r="Q13" s="80" t="n">
        <x:v>85</x:v>
      </x:c>
      <x:c r="R13" s="80" t="n">
        <x:f>Q13-P13</x:f>
        <x:v>0.4400242555963274</x:v>
      </x:c>
      <x:c r="S13" s="79" t="n">
        <x:v>500000</x:v>
      </x:c>
      <x:c r="T13" s="79" t="n">
        <x:v>500000</x:v>
      </x:c>
      <x:c r="U13" s="79" t="n">
        <x:f>T13-S13</x:f>
        <x:v>0</x:v>
      </x:c>
      <x:c r="V13" s="80" t="n">
        <x:v>59.191983021082564</x:v>
      </x:c>
      <x:c r="W13" s="80" t="n">
        <x:v>59.2</x:v>
      </x:c>
      <x:c r="X13" s="80" t="n">
        <x:f>W13-V13</x:f>
        <x:v>0.008016978917439133</x:v>
      </x:c>
      <x:c r="Y13" s="79" t="n">
        <x:v>2</x:v>
      </x:c>
      <x:c r="Z13" s="80" t="n">
        <x:v>1.3280000000013388</x:v>
      </x:c>
      <x:c r="AA13" s="79" t="n">
        <x:v>1</x:v>
      </x:c>
      <x:c r="AB13" s="79" t="n">
        <x:v>0</x:v>
      </x:c>
      <x:c r="AC13" s="80" t="n">
        <x:f>MAX(ABS(R13),ABS(X13))</x:f>
        <x:v>0.4400242555963274</x:v>
      </x:c>
      <x:c r="AD13" s="79" t="n">
        <x:f>MAX(ABS(O13),ABS(U13))</x:f>
        <x:v>3</x:v>
      </x:c>
      <x:c r="AE13" s="78" t="str">
        <x:f>IF(AND(H13&lt;=5,L13&lt;=5,AC13&lt;=5,AD13&lt;=1000,Y13=2,Z13&lt;=2,AA13=1,AB13=0),"PASS","FAIL")</x:f>
        <x:v>PASS</x:v>
      </x:c>
    </x:row>
    <x:row r="14">
      <x:c r="A14" s="78" t="n">
        <x:v>10</x:v>
      </x:c>
      <x:c r="B14" s="79" t="n">
        <x:v>10</x:v>
      </x:c>
      <x:c r="C14" s="80" t="n">
        <x:v>200</x:v>
      </x:c>
      <x:c r="D14" s="80" t="n">
        <x:v>449.589992504724</x:v>
      </x:c>
      <x:c r="E14" s="80" t="n">
        <x:v>250</x:v>
      </x:c>
      <x:c r="F14" s="80" t="n">
        <x:v>250.9</x:v>
      </x:c>
      <x:c r="G14" s="80" t="n">
        <x:f>F14-E14</x:f>
        <x:v>0.9000000000000057</x:v>
      </x:c>
      <x:c r="H14" s="80" t="n">
        <x:f>ABS(G14)</x:f>
        <x:v>0.9000000000000057</x:v>
      </x:c>
      <x:c r="I14" s="80" t="n">
        <x:v>72.98657531307474</x:v>
      </x:c>
      <x:c r="J14" s="80" t="n">
        <x:v>73.3</x:v>
      </x:c>
      <x:c r="K14" s="80" t="n">
        <x:f>J14-I14</x:f>
        <x:v>0.31342468692525927</x:v>
      </x:c>
      <x:c r="L14" s="80" t="n">
        <x:f>ABS(K14)</x:f>
        <x:v>0.31342468692525927</x:v>
      </x:c>
      <x:c r="M14" s="79" t="n">
        <x:v>250000</x:v>
      </x:c>
      <x:c r="N14" s="79" t="n">
        <x:v>250003</x:v>
      </x:c>
      <x:c r="O14" s="79" t="n">
        <x:f>N14-M14</x:f>
        <x:v>3</x:v>
      </x:c>
      <x:c r="P14" s="80" t="n">
        <x:v>84.55997574440367</x:v>
      </x:c>
      <x:c r="Q14" s="80" t="n">
        <x:v>85</x:v>
      </x:c>
      <x:c r="R14" s="80" t="n">
        <x:f>Q14-P14</x:f>
        <x:v>0.4400242555963274</x:v>
      </x:c>
      <x:c r="S14" s="79" t="n">
        <x:v>500000</x:v>
      </x:c>
      <x:c r="T14" s="79" t="n">
        <x:v>500000</x:v>
      </x:c>
      <x:c r="U14" s="79" t="n">
        <x:f>T14-S14</x:f>
        <x:v>0</x:v>
      </x:c>
      <x:c r="V14" s="80" t="n">
        <x:v>59.191983021082564</x:v>
      </x:c>
      <x:c r="W14" s="80" t="n">
        <x:v>59.3</x:v>
      </x:c>
      <x:c r="X14" s="80" t="n">
        <x:f>W14-V14</x:f>
        <x:v>0.10801697891743345</x:v>
      </x:c>
      <x:c r="Y14" s="79" t="n">
        <x:v>2</x:v>
      </x:c>
      <x:c r="Z14" s="80" t="n">
        <x:v>1.2819999999992433</x:v>
      </x:c>
      <x:c r="AA14" s="79" t="n">
        <x:v>1</x:v>
      </x:c>
      <x:c r="AB14" s="79" t="n">
        <x:v>0</x:v>
      </x:c>
      <x:c r="AC14" s="80" t="n">
        <x:f>MAX(ABS(R14),ABS(X14))</x:f>
        <x:v>0.4400242555963274</x:v>
      </x:c>
      <x:c r="AD14" s="79" t="n">
        <x:f>MAX(ABS(O14),ABS(U14))</x:f>
        <x:v>3</x:v>
      </x:c>
      <x:c r="AE14" s="78" t="str">
        <x:f>IF(AND(H14&lt;=5,L14&lt;=5,AC14&lt;=5,AD14&lt;=1000,Y14=2,Z14&lt;=2,AA14=1,AB14=0),"PASS","FAIL")</x:f>
        <x:v>PASS</x:v>
      </x:c>
    </x:row>
    <x:row r="15">
      <x:c r="A15" s="78" t="n">
        <x:v>11</x:v>
      </x:c>
      <x:c r="B15" s="79" t="n">
        <x:v>11</x:v>
      </x:c>
      <x:c r="C15" s="80" t="n">
        <x:v>200</x:v>
      </x:c>
      <x:c r="D15" s="80" t="n">
        <x:v>448.9146557897738</x:v>
      </x:c>
      <x:c r="E15" s="80" t="n">
        <x:v>250</x:v>
      </x:c>
      <x:c r="F15" s="80" t="n">
        <x:v>251.1</x:v>
      </x:c>
      <x:c r="G15" s="80" t="n">
        <x:f>F15-E15</x:f>
        <x:v>1.0999999999999943</x:v>
      </x:c>
      <x:c r="H15" s="80" t="n">
        <x:f>ABS(G15)</x:f>
        <x:v>1.0999999999999943</x:v>
      </x:c>
      <x:c r="I15" s="80" t="n">
        <x:v>72.98657531307474</x:v>
      </x:c>
      <x:c r="J15" s="80" t="n">
        <x:v>73.3</x:v>
      </x:c>
      <x:c r="K15" s="80" t="n">
        <x:f>J15-I15</x:f>
        <x:v>0.31342468692525927</x:v>
      </x:c>
      <x:c r="L15" s="80" t="n">
        <x:f>ABS(K15)</x:f>
        <x:v>0.31342468692525927</x:v>
      </x:c>
      <x:c r="M15" s="79" t="n">
        <x:v>250000</x:v>
      </x:c>
      <x:c r="N15" s="79" t="n">
        <x:v>250003</x:v>
      </x:c>
      <x:c r="O15" s="79" t="n">
        <x:f>N15-M15</x:f>
        <x:v>3</x:v>
      </x:c>
      <x:c r="P15" s="80" t="n">
        <x:v>84.55997574440367</x:v>
      </x:c>
      <x:c r="Q15" s="80" t="n">
        <x:v>85</x:v>
      </x:c>
      <x:c r="R15" s="80" t="n">
        <x:f>Q15-P15</x:f>
        <x:v>0.4400242555963274</x:v>
      </x:c>
      <x:c r="S15" s="79" t="n">
        <x:v>500000</x:v>
      </x:c>
      <x:c r="T15" s="79" t="n">
        <x:v>500000</x:v>
      </x:c>
      <x:c r="U15" s="79" t="n">
        <x:f>T15-S15</x:f>
        <x:v>0</x:v>
      </x:c>
      <x:c r="V15" s="80" t="n">
        <x:v>59.191983021082564</x:v>
      </x:c>
      <x:c r="W15" s="80" t="n">
        <x:v>59.4</x:v>
      </x:c>
      <x:c r="X15" s="80" t="n">
        <x:f>W15-V15</x:f>
        <x:v>0.20801697891743487</x:v>
      </x:c>
      <x:c r="Y15" s="79" t="n">
        <x:v>2</x:v>
      </x:c>
      <x:c r="Z15" s="80" t="n">
        <x:v>1.25</x:v>
      </x:c>
      <x:c r="AA15" s="79" t="n">
        <x:v>1</x:v>
      </x:c>
      <x:c r="AB15" s="79" t="n">
        <x:v>0</x:v>
      </x:c>
      <x:c r="AC15" s="80" t="n">
        <x:f>MAX(ABS(R15),ABS(X15))</x:f>
        <x:v>0.4400242555963274</x:v>
      </x:c>
      <x:c r="AD15" s="79" t="n">
        <x:f>MAX(ABS(O15),ABS(U15))</x:f>
        <x:v>3</x:v>
      </x:c>
      <x:c r="AE15" s="78" t="str">
        <x:f>IF(AND(H15&lt;=5,L15&lt;=5,AC15&lt;=5,AD15&lt;=1000,Y15=2,Z15&lt;=2,AA15=1,AB15=0),"PASS","FAIL")</x:f>
        <x:v>PASS</x:v>
      </x:c>
    </x:row>
    <x:row r="16">
      <x:c r="A16" s="78" t="n">
        <x:v>12</x:v>
      </x:c>
      <x:c r="B16" s="79" t="n">
        <x:v>12</x:v>
      </x:c>
      <x:c r="C16" s="80" t="n">
        <x:v>200</x:v>
      </x:c>
      <x:c r="D16" s="80" t="n">
        <x:v>449.54826008201485</x:v>
      </x:c>
      <x:c r="E16" s="80" t="n">
        <x:v>250</x:v>
      </x:c>
      <x:c r="F16" s="80" t="n">
        <x:v>251</x:v>
      </x:c>
      <x:c r="G16" s="80" t="n">
        <x:f>F16-E16</x:f>
        <x:v>1</x:v>
      </x:c>
      <x:c r="H16" s="80" t="n">
        <x:f>ABS(G16)</x:f>
        <x:v>1</x:v>
      </x:c>
      <x:c r="I16" s="80" t="n">
        <x:v>72.98657531307474</x:v>
      </x:c>
      <x:c r="J16" s="80" t="n">
        <x:v>73.3</x:v>
      </x:c>
      <x:c r="K16" s="80" t="n">
        <x:f>J16-I16</x:f>
        <x:v>0.31342468692525927</x:v>
      </x:c>
      <x:c r="L16" s="80" t="n">
        <x:f>ABS(K16)</x:f>
        <x:v>0.31342468692525927</x:v>
      </x:c>
      <x:c r="M16" s="79" t="n">
        <x:v>250000</x:v>
      </x:c>
      <x:c r="N16" s="79" t="n">
        <x:v>250003</x:v>
      </x:c>
      <x:c r="O16" s="79" t="n">
        <x:f>N16-M16</x:f>
        <x:v>3</x:v>
      </x:c>
      <x:c r="P16" s="80" t="n">
        <x:v>84.55997574440367</x:v>
      </x:c>
      <x:c r="Q16" s="80" t="n">
        <x:v>85</x:v>
      </x:c>
      <x:c r="R16" s="80" t="n">
        <x:f>Q16-P16</x:f>
        <x:v>0.4400242555963274</x:v>
      </x:c>
      <x:c r="S16" s="79" t="n">
        <x:v>500000</x:v>
      </x:c>
      <x:c r="T16" s="79" t="n">
        <x:v>500000</x:v>
      </x:c>
      <x:c r="U16" s="79" t="n">
        <x:f>T16-S16</x:f>
        <x:v>0</x:v>
      </x:c>
      <x:c r="V16" s="80" t="n">
        <x:v>59.191983021082564</x:v>
      </x:c>
      <x:c r="W16" s="80" t="n">
        <x:v>59.4</x:v>
      </x:c>
      <x:c r="X16" s="80" t="n">
        <x:f>W16-V16</x:f>
        <x:v>0.20801697891743487</x:v>
      </x:c>
      <x:c r="Y16" s="79" t="n">
        <x:v>2</x:v>
      </x:c>
      <x:c r="Z16" s="80" t="n">
        <x:v>1.2960000000020955</x:v>
      </x:c>
      <x:c r="AA16" s="79" t="n">
        <x:v>1</x:v>
      </x:c>
      <x:c r="AB16" s="79" t="n">
        <x:v>0</x:v>
      </x:c>
      <x:c r="AC16" s="80" t="n">
        <x:f>MAX(ABS(R16),ABS(X16))</x:f>
        <x:v>0.4400242555963274</x:v>
      </x:c>
      <x:c r="AD16" s="79" t="n">
        <x:f>MAX(ABS(O16),ABS(U16))</x:f>
        <x:v>3</x:v>
      </x:c>
      <x:c r="AE16" s="78" t="str">
        <x:f>IF(AND(H16&lt;=5,L16&lt;=5,AC16&lt;=5,AD16&lt;=1000,Y16=2,Z16&lt;=2,AA16=1,AB16=0),"PASS","FAIL")</x:f>
        <x:v>PASS</x:v>
      </x:c>
    </x:row>
    <x:row r="17">
      <x:c r="A17" s="78" t="n">
        <x:v>13</x:v>
      </x:c>
      <x:c r="B17" s="79" t="n">
        <x:v>13</x:v>
      </x:c>
      <x:c r="C17" s="80" t="n">
        <x:v>200</x:v>
      </x:c>
      <x:c r="D17" s="80" t="n">
        <x:v>448.68472339538783</x:v>
      </x:c>
      <x:c r="E17" s="80" t="n">
        <x:v>250</x:v>
      </x:c>
      <x:c r="F17" s="80" t="n">
        <x:v>251.3</x:v>
      </x:c>
      <x:c r="G17" s="80" t="n">
        <x:f>F17-E17</x:f>
        <x:v>1.3000000000000114</x:v>
      </x:c>
      <x:c r="H17" s="80" t="n">
        <x:f>ABS(G17)</x:f>
        <x:v>1.3000000000000114</x:v>
      </x:c>
      <x:c r="I17" s="80" t="n">
        <x:v>72.98657531307474</x:v>
      </x:c>
      <x:c r="J17" s="80" t="n">
        <x:v>73.4</x:v>
      </x:c>
      <x:c r="K17" s="80" t="n">
        <x:f>J17-I17</x:f>
        <x:v>0.4134246869252678</x:v>
      </x:c>
      <x:c r="L17" s="80" t="n">
        <x:f>ABS(K17)</x:f>
        <x:v>0.4134246869252678</x:v>
      </x:c>
      <x:c r="M17" s="79" t="n">
        <x:v>250000</x:v>
      </x:c>
      <x:c r="N17" s="79" t="n">
        <x:v>250003</x:v>
      </x:c>
      <x:c r="O17" s="79" t="n">
        <x:f>N17-M17</x:f>
        <x:v>3</x:v>
      </x:c>
      <x:c r="P17" s="80" t="n">
        <x:v>84.55997574440367</x:v>
      </x:c>
      <x:c r="Q17" s="80" t="n">
        <x:v>85</x:v>
      </x:c>
      <x:c r="R17" s="80" t="n">
        <x:f>Q17-P17</x:f>
        <x:v>0.4400242555963274</x:v>
      </x:c>
      <x:c r="S17" s="79" t="n">
        <x:v>500000</x:v>
      </x:c>
      <x:c r="T17" s="79" t="n">
        <x:v>500000</x:v>
      </x:c>
      <x:c r="U17" s="79" t="n">
        <x:f>T17-S17</x:f>
        <x:v>0</x:v>
      </x:c>
      <x:c r="V17" s="80" t="n">
        <x:v>59.191983021082564</x:v>
      </x:c>
      <x:c r="W17" s="80" t="n">
        <x:v>59.5</x:v>
      </x:c>
      <x:c r="X17" s="80" t="n">
        <x:f>W17-V17</x:f>
        <x:v>0.3080169789174363</x:v>
      </x:c>
      <x:c r="Y17" s="79" t="n">
        <x:v>2</x:v>
      </x:c>
      <x:c r="Z17" s="80" t="n">
        <x:v>1.2039999999979045</x:v>
      </x:c>
      <x:c r="AA17" s="79" t="n">
        <x:v>1</x:v>
      </x:c>
      <x:c r="AB17" s="79" t="n">
        <x:v>0</x:v>
      </x:c>
      <x:c r="AC17" s="80" t="n">
        <x:f>MAX(ABS(R17),ABS(X17))</x:f>
        <x:v>0.4400242555963274</x:v>
      </x:c>
      <x:c r="AD17" s="79" t="n">
        <x:f>MAX(ABS(O17),ABS(U17))</x:f>
        <x:v>3</x:v>
      </x:c>
      <x:c r="AE17" s="78" t="str">
        <x:f>IF(AND(H17&lt;=5,L17&lt;=5,AC17&lt;=5,AD17&lt;=1000,Y17=2,Z17&lt;=2,AA17=1,AB17=0),"PASS","FAIL")</x:f>
        <x:v>PASS</x:v>
      </x:c>
    </x:row>
    <x:row r="18">
      <x:c r="A18" s="78" t="n">
        <x:v>14</x:v>
      </x:c>
      <x:c r="B18" s="79" t="n">
        <x:v>14</x:v>
      </x:c>
      <x:c r="C18" s="80" t="n">
        <x:v>200</x:v>
      </x:c>
      <x:c r="D18" s="80" t="n">
        <x:v>448.9146557897742</x:v>
      </x:c>
      <x:c r="E18" s="80" t="n">
        <x:v>250</x:v>
      </x:c>
      <x:c r="F18" s="80" t="n">
        <x:v>251.4</x:v>
      </x:c>
      <x:c r="G18" s="80" t="n">
        <x:f>F18-E18</x:f>
        <x:v>1.4000000000000057</x:v>
      </x:c>
      <x:c r="H18" s="80" t="n">
        <x:f>ABS(G18)</x:f>
        <x:v>1.4000000000000057</x:v>
      </x:c>
      <x:c r="I18" s="80" t="n">
        <x:v>72.98657531307474</x:v>
      </x:c>
      <x:c r="J18" s="80" t="n">
        <x:v>73.4</x:v>
      </x:c>
      <x:c r="K18" s="80" t="n">
        <x:f>J18-I18</x:f>
        <x:v>0.4134246869252678</x:v>
      </x:c>
      <x:c r="L18" s="80" t="n">
        <x:f>ABS(K18)</x:f>
        <x:v>0.4134246869252678</x:v>
      </x:c>
      <x:c r="M18" s="79" t="n">
        <x:v>250000</x:v>
      </x:c>
      <x:c r="N18" s="79" t="n">
        <x:v>250003</x:v>
      </x:c>
      <x:c r="O18" s="79" t="n">
        <x:f>N18-M18</x:f>
        <x:v>3</x:v>
      </x:c>
      <x:c r="P18" s="80" t="n">
        <x:v>84.55997574440367</x:v>
      </x:c>
      <x:c r="Q18" s="80" t="n">
        <x:v>85.1</x:v>
      </x:c>
      <x:c r="R18" s="80" t="n">
        <x:f>Q18-P18</x:f>
        <x:v>0.5400242555963217</x:v>
      </x:c>
      <x:c r="S18" s="79" t="n">
        <x:v>500000</x:v>
      </x:c>
      <x:c r="T18" s="79" t="n">
        <x:v>500000</x:v>
      </x:c>
      <x:c r="U18" s="79" t="n">
        <x:f>T18-S18</x:f>
        <x:v>0</x:v>
      </x:c>
      <x:c r="V18" s="80" t="n">
        <x:v>59.191983021082564</x:v>
      </x:c>
      <x:c r="W18" s="80" t="n">
        <x:v>59.5</x:v>
      </x:c>
      <x:c r="X18" s="80" t="n">
        <x:f>W18-V18</x:f>
        <x:v>0.3080169789174363</x:v>
      </x:c>
      <x:c r="Y18" s="79" t="n">
        <x:v>2</x:v>
      </x:c>
      <x:c r="Z18" s="80" t="n">
        <x:v>1.3439999999973224</x:v>
      </x:c>
      <x:c r="AA18" s="79" t="n">
        <x:v>1</x:v>
      </x:c>
      <x:c r="AB18" s="79" t="n">
        <x:v>0</x:v>
      </x:c>
      <x:c r="AC18" s="80" t="n">
        <x:f>MAX(ABS(R18),ABS(X18))</x:f>
        <x:v>0.5400242555963217</x:v>
      </x:c>
      <x:c r="AD18" s="79" t="n">
        <x:f>MAX(ABS(O18),ABS(U18))</x:f>
        <x:v>3</x:v>
      </x:c>
      <x:c r="AE18" s="78" t="str">
        <x:f>IF(AND(H18&lt;=5,L18&lt;=5,AC18&lt;=5,AD18&lt;=1000,Y18=2,Z18&lt;=2,AA18=1,AB18=0),"PASS","FAIL")</x:f>
        <x:v>PASS</x:v>
      </x:c>
    </x:row>
    <x:row r="19">
      <x:c r="A19" s="78" t="n">
        <x:v>15</x:v>
      </x:c>
      <x:c r="B19" s="79" t="n">
        <x:v>15</x:v>
      </x:c>
      <x:c r="C19" s="80" t="n">
        <x:v>200</x:v>
      </x:c>
      <x:c r="D19" s="80" t="n">
        <x:v>449.4907044420213</x:v>
      </x:c>
      <x:c r="E19" s="80" t="n">
        <x:v>250</x:v>
      </x:c>
      <x:c r="F19" s="80" t="n">
        <x:v>251.4</x:v>
      </x:c>
      <x:c r="G19" s="80" t="n">
        <x:f>F19-E19</x:f>
        <x:v>1.4000000000000057</x:v>
      </x:c>
      <x:c r="H19" s="80" t="n">
        <x:f>ABS(G19)</x:f>
        <x:v>1.4000000000000057</x:v>
      </x:c>
      <x:c r="I19" s="80" t="n">
        <x:v>72.98657531307474</x:v>
      </x:c>
      <x:c r="J19" s="80" t="n">
        <x:v>73.4</x:v>
      </x:c>
      <x:c r="K19" s="80" t="n">
        <x:f>J19-I19</x:f>
        <x:v>0.4134246869252678</x:v>
      </x:c>
      <x:c r="L19" s="80" t="n">
        <x:f>ABS(K19)</x:f>
        <x:v>0.4134246869252678</x:v>
      </x:c>
      <x:c r="M19" s="79" t="n">
        <x:v>250000</x:v>
      </x:c>
      <x:c r="N19" s="79" t="n">
        <x:v>250003</x:v>
      </x:c>
      <x:c r="O19" s="79" t="n">
        <x:f>N19-M19</x:f>
        <x:v>3</x:v>
      </x:c>
      <x:c r="P19" s="80" t="n">
        <x:v>84.55997574440367</x:v>
      </x:c>
      <x:c r="Q19" s="80" t="n">
        <x:v>85</x:v>
      </x:c>
      <x:c r="R19" s="80" t="n">
        <x:f>Q19-P19</x:f>
        <x:v>0.4400242555963274</x:v>
      </x:c>
      <x:c r="S19" s="79" t="n">
        <x:v>500000</x:v>
      </x:c>
      <x:c r="T19" s="79" t="n">
        <x:v>500000</x:v>
      </x:c>
      <x:c r="U19" s="79" t="n">
        <x:f>T19-S19</x:f>
        <x:v>0</x:v>
      </x:c>
      <x:c r="V19" s="80" t="n">
        <x:v>59.191983021082564</x:v>
      </x:c>
      <x:c r="W19" s="80" t="n">
        <x:v>59.5</x:v>
      </x:c>
      <x:c r="X19" s="80" t="n">
        <x:f>W19-V19</x:f>
        <x:v>0.3080169789174363</x:v>
      </x:c>
      <x:c r="Y19" s="79" t="n">
        <x:v>2</x:v>
      </x:c>
      <x:c r="Z19" s="80" t="n">
        <x:v>1.3280000000013388</x:v>
      </x:c>
      <x:c r="AA19" s="79" t="n">
        <x:v>1</x:v>
      </x:c>
      <x:c r="AB19" s="79" t="n">
        <x:v>0</x:v>
      </x:c>
      <x:c r="AC19" s="80" t="n">
        <x:f>MAX(ABS(R19),ABS(X19))</x:f>
        <x:v>0.4400242555963274</x:v>
      </x:c>
      <x:c r="AD19" s="79" t="n">
        <x:f>MAX(ABS(O19),ABS(U19))</x:f>
        <x:v>3</x:v>
      </x:c>
      <x:c r="AE19" s="78" t="str">
        <x:f>IF(AND(H19&lt;=5,L19&lt;=5,AC19&lt;=5,AD19&lt;=1000,Y19=2,Z19&lt;=2,AA19=1,AB19=0),"PASS","FAIL")</x:f>
        <x:v>PASS</x:v>
      </x:c>
    </x:row>
    <x:row r="20">
      <x:c r="A20" s="78" t="n">
        <x:v>16</x:v>
      </x:c>
      <x:c r="B20" s="79" t="n">
        <x:v>16</x:v>
      </x:c>
      <x:c r="C20" s="80" t="n">
        <x:v>200</x:v>
      </x:c>
      <x:c r="D20" s="80" t="n">
        <x:v>449.51505854037003</x:v>
      </x:c>
      <x:c r="E20" s="80" t="n">
        <x:v>250</x:v>
      </x:c>
      <x:c r="F20" s="80" t="n">
        <x:v>251.5</x:v>
      </x:c>
      <x:c r="G20" s="80" t="n">
        <x:f>F20-E20</x:f>
        <x:v>1.5</x:v>
      </x:c>
      <x:c r="H20" s="80" t="n">
        <x:f>ABS(G20)</x:f>
        <x:v>1.5</x:v>
      </x:c>
      <x:c r="I20" s="80" t="n">
        <x:v>72.98657531307474</x:v>
      </x:c>
      <x:c r="J20" s="80" t="n">
        <x:v>73.4</x:v>
      </x:c>
      <x:c r="K20" s="80" t="n">
        <x:f>J20-I20</x:f>
        <x:v>0.4134246869252678</x:v>
      </x:c>
      <x:c r="L20" s="80" t="n">
        <x:f>ABS(K20)</x:f>
        <x:v>0.4134246869252678</x:v>
      </x:c>
      <x:c r="M20" s="79" t="n">
        <x:v>250000</x:v>
      </x:c>
      <x:c r="N20" s="79" t="n">
        <x:v>250003</x:v>
      </x:c>
      <x:c r="O20" s="79" t="n">
        <x:f>N20-M20</x:f>
        <x:v>3</x:v>
      </x:c>
      <x:c r="P20" s="80" t="n">
        <x:v>84.55997574440367</x:v>
      </x:c>
      <x:c r="Q20" s="80" t="n">
        <x:v>85</x:v>
      </x:c>
      <x:c r="R20" s="80" t="n">
        <x:f>Q20-P20</x:f>
        <x:v>0.4400242555963274</x:v>
      </x:c>
      <x:c r="S20" s="79" t="n">
        <x:v>500000</x:v>
      </x:c>
      <x:c r="T20" s="79" t="n">
        <x:v>500000</x:v>
      </x:c>
      <x:c r="U20" s="79" t="n">
        <x:f>T20-S20</x:f>
        <x:v>0</x:v>
      </x:c>
      <x:c r="V20" s="80" t="n">
        <x:v>59.191983021082564</x:v>
      </x:c>
      <x:c r="W20" s="80" t="n">
        <x:v>59.6</x:v>
      </x:c>
      <x:c r="X20" s="80" t="n">
        <x:f>W20-V20</x:f>
        <x:v>0.4080169789174377</x:v>
      </x:c>
      <x:c r="Y20" s="79" t="n">
        <x:v>2</x:v>
      </x:c>
      <x:c r="Z20" s="80" t="n">
        <x:v>1.2810000000026776</x:v>
      </x:c>
      <x:c r="AA20" s="79" t="n">
        <x:v>1</x:v>
      </x:c>
      <x:c r="AB20" s="79" t="n">
        <x:v>0</x:v>
      </x:c>
      <x:c r="AC20" s="80" t="n">
        <x:f>MAX(ABS(R20),ABS(X20))</x:f>
        <x:v>0.4400242555963274</x:v>
      </x:c>
      <x:c r="AD20" s="79" t="n">
        <x:f>MAX(ABS(O20),ABS(U20))</x:f>
        <x:v>3</x:v>
      </x:c>
      <x:c r="AE20" s="78" t="str">
        <x:f>IF(AND(H20&lt;=5,L20&lt;=5,AC20&lt;=5,AD20&lt;=1000,Y20=2,Z20&lt;=2,AA20=1,AB20=0),"PASS","FAIL")</x:f>
        <x:v>PASS</x:v>
      </x:c>
    </x:row>
    <x:row r="21">
      <x:c r="A21" s="78" t="n">
        <x:v>17</x:v>
      </x:c>
      <x:c r="B21" s="79" t="n">
        <x:v>17</x:v>
      </x:c>
      <x:c r="C21" s="80" t="n">
        <x:v>200</x:v>
      </x:c>
      <x:c r="D21" s="80" t="n">
        <x:v>448.28631334525335</x:v>
      </x:c>
      <x:c r="E21" s="80" t="n">
        <x:v>250</x:v>
      </x:c>
      <x:c r="F21" s="80" t="n">
        <x:v>251.6</x:v>
      </x:c>
      <x:c r="G21" s="80" t="n">
        <x:f>F21-E21</x:f>
        <x:v>1.5999999999999943</x:v>
      </x:c>
      <x:c r="H21" s="80" t="n">
        <x:f>ABS(G21)</x:f>
        <x:v>1.5999999999999943</x:v>
      </x:c>
      <x:c r="I21" s="80" t="n">
        <x:v>72.98657531307474</x:v>
      </x:c>
      <x:c r="J21" s="80" t="n">
        <x:v>73.5</x:v>
      </x:c>
      <x:c r="K21" s="80" t="n">
        <x:f>J21-I21</x:f>
        <x:v>0.5134246869252621</x:v>
      </x:c>
      <x:c r="L21" s="80" t="n">
        <x:f>ABS(K21)</x:f>
        <x:v>0.5134246869252621</x:v>
      </x:c>
      <x:c r="M21" s="79" t="n">
        <x:v>250000</x:v>
      </x:c>
      <x:c r="N21" s="79" t="n">
        <x:v>250003</x:v>
      </x:c>
      <x:c r="O21" s="79" t="n">
        <x:f>N21-M21</x:f>
        <x:v>3</x:v>
      </x:c>
      <x:c r="P21" s="80" t="n">
        <x:v>84.55997574440367</x:v>
      </x:c>
      <x:c r="Q21" s="80" t="n">
        <x:v>85.1</x:v>
      </x:c>
      <x:c r="R21" s="80" t="n">
        <x:f>Q21-P21</x:f>
        <x:v>0.5400242555963217</x:v>
      </x:c>
      <x:c r="S21" s="79" t="n">
        <x:v>500000</x:v>
      </x:c>
      <x:c r="T21" s="79" t="n">
        <x:v>500000</x:v>
      </x:c>
      <x:c r="U21" s="79" t="n">
        <x:f>T21-S21</x:f>
        <x:v>0</x:v>
      </x:c>
      <x:c r="V21" s="80" t="n">
        <x:v>59.191983021082564</x:v>
      </x:c>
      <x:c r="W21" s="80" t="n">
        <x:v>59.6</x:v>
      </x:c>
      <x:c r="X21" s="80" t="n">
        <x:f>W21-V21</x:f>
        <x:v>0.4080169789174377</x:v>
      </x:c>
      <x:c r="Y21" s="79" t="n">
        <x:v>2</x:v>
      </x:c>
      <x:c r="Z21" s="80" t="n">
        <x:v>1.2030000000013388</x:v>
      </x:c>
      <x:c r="AA21" s="79" t="n">
        <x:v>1</x:v>
      </x:c>
      <x:c r="AB21" s="79" t="n">
        <x:v>0</x:v>
      </x:c>
      <x:c r="AC21" s="80" t="n">
        <x:f>MAX(ABS(R21),ABS(X21))</x:f>
        <x:v>0.5400242555963217</x:v>
      </x:c>
      <x:c r="AD21" s="79" t="n">
        <x:f>MAX(ABS(O21),ABS(U21))</x:f>
        <x:v>3</x:v>
      </x:c>
      <x:c r="AE21" s="78" t="str">
        <x:f>IF(AND(H21&lt;=5,L21&lt;=5,AC21&lt;=5,AD21&lt;=1000,Y21=2,Z21&lt;=2,AA21=1,AB21=0),"PASS","FAIL")</x:f>
        <x:v>PASS</x:v>
      </x:c>
    </x:row>
    <x:row r="22">
      <x:c r="A22" s="78" t="n">
        <x:v>18</x:v>
      </x:c>
      <x:c r="B22" s="79" t="n">
        <x:v>18</x:v>
      </x:c>
      <x:c r="C22" s="80" t="n">
        <x:v>200</x:v>
      </x:c>
      <x:c r="D22" s="80" t="n">
        <x:v>448.7069089230713</x:v>
      </x:c>
      <x:c r="E22" s="80" t="n">
        <x:v>250</x:v>
      </x:c>
      <x:c r="F22" s="80" t="n">
        <x:v>251.6</x:v>
      </x:c>
      <x:c r="G22" s="80" t="n">
        <x:f>F22-E22</x:f>
        <x:v>1.5999999999999943</x:v>
      </x:c>
      <x:c r="H22" s="80" t="n">
        <x:f>ABS(G22)</x:f>
        <x:v>1.5999999999999943</x:v>
      </x:c>
      <x:c r="I22" s="80" t="n">
        <x:v>72.98657531307474</x:v>
      </x:c>
      <x:c r="J22" s="80" t="n">
        <x:v>73.4</x:v>
      </x:c>
      <x:c r="K22" s="80" t="n">
        <x:f>J22-I22</x:f>
        <x:v>0.4134246869252678</x:v>
      </x:c>
      <x:c r="L22" s="80" t="n">
        <x:f>ABS(K22)</x:f>
        <x:v>0.4134246869252678</x:v>
      </x:c>
      <x:c r="M22" s="79" t="n">
        <x:v>250000</x:v>
      </x:c>
      <x:c r="N22" s="79" t="n">
        <x:v>250003</x:v>
      </x:c>
      <x:c r="O22" s="79" t="n">
        <x:f>N22-M22</x:f>
        <x:v>3</x:v>
      </x:c>
      <x:c r="P22" s="80" t="n">
        <x:v>84.55997574440367</x:v>
      </x:c>
      <x:c r="Q22" s="80" t="n">
        <x:v>85.1</x:v>
      </x:c>
      <x:c r="R22" s="80" t="n">
        <x:f>Q22-P22</x:f>
        <x:v>0.5400242555963217</x:v>
      </x:c>
      <x:c r="S22" s="79" t="n">
        <x:v>500000</x:v>
      </x:c>
      <x:c r="T22" s="79" t="n">
        <x:v>500000</x:v>
      </x:c>
      <x:c r="U22" s="79" t="n">
        <x:f>T22-S22</x:f>
        <x:v>0</x:v>
      </x:c>
      <x:c r="V22" s="80" t="n">
        <x:v>59.191983021082564</x:v>
      </x:c>
      <x:c r="W22" s="80" t="n">
        <x:v>59.6</x:v>
      </x:c>
      <x:c r="X22" s="80" t="n">
        <x:f>W22-V22</x:f>
        <x:v>0.4080169789174377</x:v>
      </x:c>
      <x:c r="Y22" s="79" t="n">
        <x:v>2</x:v>
      </x:c>
      <x:c r="Z22" s="80" t="n">
        <x:v>1.1880000000019209</x:v>
      </x:c>
      <x:c r="AA22" s="79" t="n">
        <x:v>1</x:v>
      </x:c>
      <x:c r="AB22" s="79" t="n">
        <x:v>0</x:v>
      </x:c>
      <x:c r="AC22" s="80" t="n">
        <x:f>MAX(ABS(R22),ABS(X22))</x:f>
        <x:v>0.5400242555963217</x:v>
      </x:c>
      <x:c r="AD22" s="79" t="n">
        <x:f>MAX(ABS(O22),ABS(U22))</x:f>
        <x:v>3</x:v>
      </x:c>
      <x:c r="AE22" s="78" t="str">
        <x:f>IF(AND(H22&lt;=5,L22&lt;=5,AC22&lt;=5,AD22&lt;=1000,Y22=2,Z22&lt;=2,AA22=1,AB22=0),"PASS","FAIL")</x:f>
        <x:v>PASS</x:v>
      </x:c>
    </x:row>
    <x:row r="23">
      <x:c r="A23" s="78" t="n">
        <x:v>19</x:v>
      </x:c>
      <x:c r="B23" s="79" t="n">
        <x:v>19</x:v>
      </x:c>
      <x:c r="C23" s="80" t="n">
        <x:v>200</x:v>
      </x:c>
      <x:c r="D23" s="80" t="n">
        <x:v>449.061134017055</x:v>
      </x:c>
      <x:c r="E23" s="80" t="n">
        <x:v>250</x:v>
      </x:c>
      <x:c r="F23" s="80" t="n">
        <x:v>251.5</x:v>
      </x:c>
      <x:c r="G23" s="80" t="n">
        <x:f>F23-E23</x:f>
        <x:v>1.5</x:v>
      </x:c>
      <x:c r="H23" s="80" t="n">
        <x:f>ABS(G23)</x:f>
        <x:v>1.5</x:v>
      </x:c>
      <x:c r="I23" s="80" t="n">
        <x:v>72.98657531307474</x:v>
      </x:c>
      <x:c r="J23" s="80" t="n">
        <x:v>73.4</x:v>
      </x:c>
      <x:c r="K23" s="80" t="n">
        <x:f>J23-I23</x:f>
        <x:v>0.4134246869252678</x:v>
      </x:c>
      <x:c r="L23" s="80" t="n">
        <x:f>ABS(K23)</x:f>
        <x:v>0.4134246869252678</x:v>
      </x:c>
      <x:c r="M23" s="79" t="n">
        <x:v>250000</x:v>
      </x:c>
      <x:c r="N23" s="79" t="n">
        <x:v>250003</x:v>
      </x:c>
      <x:c r="O23" s="79" t="n">
        <x:f>N23-M23</x:f>
        <x:v>3</x:v>
      </x:c>
      <x:c r="P23" s="80" t="n">
        <x:v>84.55997574440367</x:v>
      </x:c>
      <x:c r="Q23" s="80" t="n">
        <x:v>85</x:v>
      </x:c>
      <x:c r="R23" s="80" t="n">
        <x:f>Q23-P23</x:f>
        <x:v>0.4400242555963274</x:v>
      </x:c>
      <x:c r="S23" s="79" t="n">
        <x:v>500000</x:v>
      </x:c>
      <x:c r="T23" s="79" t="n">
        <x:v>500000</x:v>
      </x:c>
      <x:c r="U23" s="79" t="n">
        <x:f>T23-S23</x:f>
        <x:v>0</x:v>
      </x:c>
      <x:c r="V23" s="80" t="n">
        <x:v>59.191983021082564</x:v>
      </x:c>
      <x:c r="W23" s="80" t="n">
        <x:v>59.6</x:v>
      </x:c>
      <x:c r="X23" s="80" t="n">
        <x:f>W23-V23</x:f>
        <x:v>0.4080169789174377</x:v>
      </x:c>
      <x:c r="Y23" s="79" t="n">
        <x:v>2</x:v>
      </x:c>
      <x:c r="Z23" s="80" t="n">
        <x:v>1.2810000000026776</x:v>
      </x:c>
      <x:c r="AA23" s="79" t="n">
        <x:v>1</x:v>
      </x:c>
      <x:c r="AB23" s="79" t="n">
        <x:v>0</x:v>
      </x:c>
      <x:c r="AC23" s="80" t="n">
        <x:f>MAX(ABS(R23),ABS(X23))</x:f>
        <x:v>0.4400242555963274</x:v>
      </x:c>
      <x:c r="AD23" s="79" t="n">
        <x:f>MAX(ABS(O23),ABS(U23))</x:f>
        <x:v>3</x:v>
      </x:c>
      <x:c r="AE23" s="78" t="str">
        <x:f>IF(AND(H23&lt;=5,L23&lt;=5,AC23&lt;=5,AD23&lt;=1000,Y23=2,Z23&lt;=2,AA23=1,AB23=0),"PASS","FAIL")</x:f>
        <x:v>PASS</x:v>
      </x:c>
    </x:row>
    <x:row r="24">
      <x:c r="A24" s="78" t="n">
        <x:v>20</x:v>
      </x:c>
      <x:c r="B24" s="79" t="n">
        <x:v>20</x:v>
      </x:c>
      <x:c r="C24" s="80" t="n">
        <x:v>200</x:v>
      </x:c>
      <x:c r="D24" s="80" t="n">
        <x:v>449.40664376504697</x:v>
      </x:c>
      <x:c r="E24" s="80" t="n">
        <x:v>250</x:v>
      </x:c>
      <x:c r="F24" s="80" t="n">
        <x:v>251.6</x:v>
      </x:c>
      <x:c r="G24" s="80" t="n">
        <x:f>F24-E24</x:f>
        <x:v>1.5999999999999943</x:v>
      </x:c>
      <x:c r="H24" s="80" t="n">
        <x:f>ABS(G24)</x:f>
        <x:v>1.5999999999999943</x:v>
      </x:c>
      <x:c r="I24" s="80" t="n">
        <x:v>72.98657531307474</x:v>
      </x:c>
      <x:c r="J24" s="80" t="n">
        <x:v>73.4</x:v>
      </x:c>
      <x:c r="K24" s="80" t="n">
        <x:f>J24-I24</x:f>
        <x:v>0.4134246869252678</x:v>
      </x:c>
      <x:c r="L24" s="80" t="n">
        <x:f>ABS(K24)</x:f>
        <x:v>0.4134246869252678</x:v>
      </x:c>
      <x:c r="M24" s="79" t="n">
        <x:v>250000</x:v>
      </x:c>
      <x:c r="N24" s="79" t="n">
        <x:v>250003</x:v>
      </x:c>
      <x:c r="O24" s="79" t="n">
        <x:f>N24-M24</x:f>
        <x:v>3</x:v>
      </x:c>
      <x:c r="P24" s="80" t="n">
        <x:v>84.55997574440367</x:v>
      </x:c>
      <x:c r="Q24" s="80" t="n">
        <x:v>85</x:v>
      </x:c>
      <x:c r="R24" s="80" t="n">
        <x:f>Q24-P24</x:f>
        <x:v>0.4400242555963274</x:v>
      </x:c>
      <x:c r="S24" s="79" t="n">
        <x:v>500000</x:v>
      </x:c>
      <x:c r="T24" s="79" t="n">
        <x:v>500000</x:v>
      </x:c>
      <x:c r="U24" s="79" t="n">
        <x:f>T24-S24</x:f>
        <x:v>0</x:v>
      </x:c>
      <x:c r="V24" s="80" t="n">
        <x:v>59.191983021082564</x:v>
      </x:c>
      <x:c r="W24" s="80" t="n">
        <x:v>59.6</x:v>
      </x:c>
      <x:c r="X24" s="80" t="n">
        <x:f>W24-V24</x:f>
        <x:v>0.4080169789174377</x:v>
      </x:c>
      <x:c r="Y24" s="79" t="n">
        <x:v>2</x:v>
      </x:c>
      <x:c r="Z24" s="80" t="n">
        <x:v>1.25</x:v>
      </x:c>
      <x:c r="AA24" s="79" t="n">
        <x:v>1</x:v>
      </x:c>
      <x:c r="AB24" s="79" t="n">
        <x:v>0</x:v>
      </x:c>
      <x:c r="AC24" s="80" t="n">
        <x:f>MAX(ABS(R24),ABS(X24))</x:f>
        <x:v>0.4400242555963274</x:v>
      </x:c>
      <x:c r="AD24" s="79" t="n">
        <x:f>MAX(ABS(O24),ABS(U24))</x:f>
        <x:v>3</x:v>
      </x:c>
      <x:c r="AE24" s="78" t="str">
        <x:f>IF(AND(H24&lt;=5,L24&lt;=5,AC24&lt;=5,AD24&lt;=1000,Y24=2,Z24&lt;=2,AA24=1,AB24=0),"PASS","FAIL")</x:f>
        <x:v>PASS</x:v>
      </x:c>
    </x:row>
  </x:sheetData>
  <x:mergeCells>
    <x:mergeCell ref="A1:AE2"/>
    <x:mergeCell ref="A3:AE3"/>
  </x:mergeCells>
  <x:conditionalFormatting sqref="AE5:AE24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6f6a4ddea114e73"/>
  </x:tableParts>
</x:worksheet>
</file>